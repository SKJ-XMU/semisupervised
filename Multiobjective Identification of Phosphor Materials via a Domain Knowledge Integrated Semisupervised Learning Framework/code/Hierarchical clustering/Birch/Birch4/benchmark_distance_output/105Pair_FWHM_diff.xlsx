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f73f4c3a7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ance_Matrix" sheetId="1" r:id="Rdb877b0f05574ed7"/>
    <x:sheet xmlns:r="http://schemas.openxmlformats.org/officeDocument/2006/relationships" name="Normalized_Distance_Matrix" sheetId="2" r:id="R2c54ff2b8d514937"/>
    <x:sheet xmlns:r="http://schemas.openxmlformats.org/officeDocument/2006/relationships" name="Pairwise_105" sheetId="3" r:id="R0a212ad0bfa34123"/>
    <x:sheet xmlns:r="http://schemas.openxmlformats.org/officeDocument/2006/relationships" name="Benchmark_PCA_Cluster" sheetId="4" r:id="R4adbec555e2f4447"/>
    <x:sheet xmlns:r="http://schemas.openxmlformats.org/officeDocument/2006/relationships" name="Raw_Matrix_Sorted" sheetId="5" r:id="Rc47ee7218cc7485a"/>
    <x:sheet xmlns:r="http://schemas.openxmlformats.org/officeDocument/2006/relationships" name="Normalized_Matrix_Sorted" sheetId="6" r:id="R523bfcb20db74020"/>
    <x:sheet xmlns:r="http://schemas.openxmlformats.org/officeDocument/2006/relationships" name="Summary" sheetId="7" r:id="R1e8707e6f32f41ed"/>
    <x:sheet xmlns:r="http://schemas.openxmlformats.org/officeDocument/2006/relationships" name="Benchmark_Properties" sheetId="8" r:id="Rf5c8702fd0c84af3"/>
    <x:sheet xmlns:r="http://schemas.openxmlformats.org/officeDocument/2006/relationships" name="FWHM_Analysis" sheetId="9" r:id="R03e094a0f82746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0"/>
  </x:numFmts>
  <x:fonts count="3">
    <x:font>
      <x:sz val="11"/>
      <x:color theme="1"/>
      <x:name val="Calibri"/>
    </x:font>
    <x:font>
      <x:b/>
    </x:font>
    <x:font>
      <x:b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7a3959d074fe7" /><Relationship Type="http://schemas.openxmlformats.org/officeDocument/2006/relationships/theme" Target="/xl/theme/theme1.xml" Id="R0645dadffca04a22" /><Relationship Type="http://schemas.openxmlformats.org/officeDocument/2006/relationships/sharedStrings" Target="/xl/sharedStrings.xml" Id="R9e79034caee340d1" /><Relationship Type="http://schemas.openxmlformats.org/officeDocument/2006/relationships/worksheet" Target="/xl/worksheets/sheet1.xml" Id="Rdb877b0f05574ed7" /><Relationship Type="http://schemas.openxmlformats.org/officeDocument/2006/relationships/worksheet" Target="/xl/worksheets/sheet2.xml" Id="R2c54ff2b8d514937" /><Relationship Type="http://schemas.openxmlformats.org/officeDocument/2006/relationships/worksheet" Target="/xl/worksheets/sheet3.xml" Id="R0a212ad0bfa34123" /><Relationship Type="http://schemas.openxmlformats.org/officeDocument/2006/relationships/worksheet" Target="/xl/worksheets/sheet4.xml" Id="R4adbec555e2f4447" /><Relationship Type="http://schemas.openxmlformats.org/officeDocument/2006/relationships/worksheet" Target="/xl/worksheets/sheet5.xml" Id="Rc47ee7218cc7485a" /><Relationship Type="http://schemas.openxmlformats.org/officeDocument/2006/relationships/worksheet" Target="/xl/worksheets/sheet6.xml" Id="R523bfcb20db74020" /><Relationship Type="http://schemas.openxmlformats.org/officeDocument/2006/relationships/worksheet" Target="/xl/worksheets/sheet7.xml" Id="R1e8707e6f32f41ed" /><Relationship Type="http://schemas.openxmlformats.org/officeDocument/2006/relationships/worksheet" Target="/xl/worksheets/sheet8.xml" Id="Rf5c8702fd0c84af3" /><Relationship Type="http://schemas.openxmlformats.org/officeDocument/2006/relationships/worksheet" Target="/xl/worksheets/sheet9.xml" Id="R03e094a0f82746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Benchmark</x:t>
        </x:is>
      </x:c>
      <x:c r="B1" s="1" t="inlineStr">
        <x:is>
          <x:t xml:space="preserve">14 | K2RbNaLi12(SiO4)4</x:t>
        </x:is>
      </x:c>
      <x:c r="C1" s="1" t="inlineStr">
        <x:is>
          <x:t xml:space="preserve">15 | Rb2ZrSi2O7</x:t>
        </x:is>
      </x:c>
      <x:c r="D1" s="1" t="inlineStr">
        <x:is>
          <x:t xml:space="preserve">16 | Sr2LiSiO4F</x:t>
        </x:is>
      </x:c>
      <x:c r="E1" s="1" t="inlineStr">
        <x:is>
          <x:t xml:space="preserve">17 | SrAl2O4</x:t>
        </x:is>
      </x:c>
      <x:c r="F1" s="1" t="inlineStr">
        <x:is>
          <x:t xml:space="preserve">95 | Na3YSi2O7</x:t>
        </x:is>
      </x:c>
      <x:c r="G1" s="1" t="inlineStr">
        <x:is>
          <x:t xml:space="preserve">111 | Ba2MgSi2O7</x:t>
        </x:is>
      </x:c>
      <x:c r="H1" s="1" t="inlineStr">
        <x:is>
          <x:t xml:space="preserve">142 | Ba2Ca(BO3)2</x:t>
        </x:is>
      </x:c>
      <x:c r="I1" s="1" t="inlineStr">
        <x:is>
          <x:t xml:space="preserve">144 | Ba2Mg(PO4)2</x:t>
        </x:is>
      </x:c>
      <x:c r="J1" s="1" t="inlineStr">
        <x:is>
          <x:t xml:space="preserve">153 | Ba3Si6(NO6)2</x:t>
        </x:is>
      </x:c>
      <x:c r="K1" s="1" t="inlineStr">
        <x:is>
          <x:t xml:space="preserve">157 | BaNa(B3O5)3</x:t>
        </x:is>
      </x:c>
      <x:c r="L1" s="1" t="inlineStr">
        <x:is>
          <x:t xml:space="preserve">171 | BaLi2SiO4</x:t>
        </x:is>
      </x:c>
      <x:c r="M1" s="1" t="inlineStr">
        <x:is>
          <x:t xml:space="preserve">180 | Ba6Y2Al4O15</x:t>
        </x:is>
      </x:c>
      <x:c r="N1" s="1" t="inlineStr">
        <x:is>
          <x:t xml:space="preserve">199 | Cs2BaP2O7</x:t>
        </x:is>
      </x:c>
      <x:c r="O1" s="1" t="inlineStr">
        <x:is>
          <x:t xml:space="preserve">261 | NaCaPO4</x:t>
        </x:is>
      </x:c>
      <x:c r="P1" s="1" t="inlineStr">
        <x:is>
          <x:t xml:space="preserve">283 | RbLi7(SiO4)2</x:t>
        </x:is>
      </x:c>
    </x:row>
    <x:row r="2">
      <x:c r="A2" s="1" t="inlineStr">
        <x:is>
          <x:t xml:space="preserve">14 | K2RbNaLi12(SiO4)4</x:t>
        </x:is>
      </x:c>
      <x:c r="B2" t="n">
        <x:v>0</x:v>
      </x:c>
      <x:c r="C2" t="n">
        <x:v>2.414455637950046</x:v>
      </x:c>
      <x:c r="D2" t="n">
        <x:v>2.016247920912444</x:v>
      </x:c>
      <x:c r="E2" t="n">
        <x:v>2.857077946739883</x:v>
      </x:c>
      <x:c r="F2" t="n">
        <x:v>2.253876525616645</x:v>
      </x:c>
      <x:c r="G2" t="n">
        <x:v>2.74312260834069</x:v>
      </x:c>
      <x:c r="H2" t="n">
        <x:v>3.019452867856774</x:v>
      </x:c>
      <x:c r="I2" t="n">
        <x:v>3.074970504599144</x:v>
      </x:c>
      <x:c r="J2" t="n">
        <x:v>2.88884839561553</x:v>
      </x:c>
      <x:c r="K2" t="n">
        <x:v>2.976791672547009</x:v>
      </x:c>
      <x:c r="L2" t="n">
        <x:v>1.773255743273699</x:v>
      </x:c>
      <x:c r="M2" t="n">
        <x:v>2.970586548159546</x:v>
      </x:c>
      <x:c r="N2" t="n">
        <x:v>2.489788798094958</x:v>
      </x:c>
      <x:c r="O2" t="n">
        <x:v>2.365725012003105</x:v>
      </x:c>
      <x:c r="P2" t="n">
        <x:v>1.992470925738918</x:v>
      </x:c>
    </x:row>
    <x:row r="3">
      <x:c r="A3" s="1" t="inlineStr">
        <x:is>
          <x:t xml:space="preserve">15 | Rb2ZrSi2O7</x:t>
        </x:is>
      </x:c>
      <x:c r="B3" t="n">
        <x:v>2.414455637950046</x:v>
      </x:c>
      <x:c r="C3" t="n">
        <x:v>0</x:v>
      </x:c>
      <x:c r="D3" t="n">
        <x:v>1.758815110567262</x:v>
      </x:c>
      <x:c r="E3" t="n">
        <x:v>1.873501269718631</x:v>
      </x:c>
      <x:c r="F3" t="n">
        <x:v>1.986674609411845</x:v>
      </x:c>
      <x:c r="G3" t="n">
        <x:v>1.884984661724531</x:v>
      </x:c>
      <x:c r="H3" t="n">
        <x:v>2.126499645604293</x:v>
      </x:c>
      <x:c r="I3" t="n">
        <x:v>2.235107052864135</x:v>
      </x:c>
      <x:c r="J3" t="n">
        <x:v>2.263852509860623</x:v>
      </x:c>
      <x:c r="K3" t="n">
        <x:v>2.270305420339997</x:v>
      </x:c>
      <x:c r="L3" t="n">
        <x:v>1.980328397953113</x:v>
      </x:c>
      <x:c r="M3" t="n">
        <x:v>1.979083313402783</x:v>
      </x:c>
      <x:c r="N3" t="n">
        <x:v>1.732234637050183</x:v>
      </x:c>
      <x:c r="O3" t="n">
        <x:v>1.668458410039074</x:v>
      </x:c>
      <x:c r="P3" t="n">
        <x:v>2.054394398107948</x:v>
      </x:c>
    </x:row>
    <x:row r="4">
      <x:c r="A4" s="1" t="inlineStr">
        <x:is>
          <x:t xml:space="preserve">16 | Sr2LiSiO4F</x:t>
        </x:is>
      </x:c>
      <x:c r="B4" t="n">
        <x:v>2.016247920912444</x:v>
      </x:c>
      <x:c r="C4" t="n">
        <x:v>1.758815110567262</x:v>
      </x:c>
      <x:c r="D4" t="n">
        <x:v>0</x:v>
      </x:c>
      <x:c r="E4" t="n">
        <x:v>2.178965593742312</x:v>
      </x:c>
      <x:c r="F4" t="n">
        <x:v>2.168395554785855</x:v>
      </x:c>
      <x:c r="G4" t="n">
        <x:v>2.009659971198674</x:v>
      </x:c>
      <x:c r="H4" t="n">
        <x:v>2.038597871464271</x:v>
      </x:c>
      <x:c r="I4" t="n">
        <x:v>2.208672400844926</x:v>
      </x:c>
      <x:c r="J4" t="n">
        <x:v>2.308766294569891</x:v>
      </x:c>
      <x:c r="K4" t="n">
        <x:v>2.444781971747143</x:v>
      </x:c>
      <x:c r="L4" t="n">
        <x:v>1.737758403785605</x:v>
      </x:c>
      <x:c r="M4" t="n">
        <x:v>2.157444646586137</x:v>
      </x:c>
      <x:c r="N4" t="n">
        <x:v>1.958798867495954</x:v>
      </x:c>
      <x:c r="O4" t="n">
        <x:v>1.617413499795998</x:v>
      </x:c>
      <x:c r="P4" t="n">
        <x:v>1.996588803042687</x:v>
      </x:c>
    </x:row>
    <x:row r="5">
      <x:c r="A5" s="1" t="inlineStr">
        <x:is>
          <x:t xml:space="preserve">17 | SrAl2O4</x:t>
        </x:is>
      </x:c>
      <x:c r="B5" t="n">
        <x:v>2.857077946739883</x:v>
      </x:c>
      <x:c r="C5" t="n">
        <x:v>1.873501269718631</x:v>
      </x:c>
      <x:c r="D5" t="n">
        <x:v>2.178965593742312</x:v>
      </x:c>
      <x:c r="E5" t="n">
        <x:v>0</x:v>
      </x:c>
      <x:c r="F5" t="n">
        <x:v>2.342368064834158</x:v>
      </x:c>
      <x:c r="G5" t="n">
        <x:v>1.181756377155895</x:v>
      </x:c>
      <x:c r="H5" t="n">
        <x:v>1.609499118718329</x:v>
      </x:c>
      <x:c r="I5" t="n">
        <x:v>1.543253598661221</x:v>
      </x:c>
      <x:c r="J5" t="n">
        <x:v>1.575497471352046</x:v>
      </x:c>
      <x:c r="K5" t="n">
        <x:v>2.518034719528274</x:v>
      </x:c>
      <x:c r="L5" t="n">
        <x:v>2.461841203010749</x:v>
      </x:c>
      <x:c r="M5" t="n">
        <x:v>1.470034073966157</x:v>
      </x:c>
      <x:c r="N5" t="n">
        <x:v>2.373342202289349</x:v>
      </x:c>
      <x:c r="O5" t="n">
        <x:v>2.015947433453698</x:v>
      </x:c>
      <x:c r="P5" t="n">
        <x:v>2.76163960926684</x:v>
      </x:c>
    </x:row>
    <x:row r="6">
      <x:c r="A6" s="1" t="inlineStr">
        <x:is>
          <x:t xml:space="preserve">95 | Na3YSi2O7</x:t>
        </x:is>
      </x:c>
      <x:c r="B6" t="n">
        <x:v>2.253876525616645</x:v>
      </x:c>
      <x:c r="C6" t="n">
        <x:v>1.986674609411845</x:v>
      </x:c>
      <x:c r="D6" t="n">
        <x:v>2.168395554785855</x:v>
      </x:c>
      <x:c r="E6" t="n">
        <x:v>2.342368064834158</x:v>
      </x:c>
      <x:c r="F6" t="n">
        <x:v>0</x:v>
      </x:c>
      <x:c r="G6" t="n">
        <x:v>2.426944136894539</x:v>
      </x:c>
      <x:c r="H6" t="n">
        <x:v>2.586004206478388</x:v>
      </x:c>
      <x:c r="I6" t="n">
        <x:v>2.489808223925192</x:v>
      </x:c>
      <x:c r="J6" t="n">
        <x:v>2.25823230595936</x:v>
      </x:c>
      <x:c r="K6" t="n">
        <x:v>2.444525338202612</x:v>
      </x:c>
      <x:c r="L6" t="n">
        <x:v>1.645133935889765</x:v>
      </x:c>
      <x:c r="M6" t="n">
        <x:v>2.47914954096842</x:v>
      </x:c>
      <x:c r="N6" t="n">
        <x:v>2.209573625062782</x:v>
      </x:c>
      <x:c r="O6" t="n">
        <x:v>1.775065134530053</x:v>
      </x:c>
      <x:c r="P6" t="n">
        <x:v>2.240670501556263</x:v>
      </x:c>
    </x:row>
    <x:row r="7">
      <x:c r="A7" s="1" t="inlineStr">
        <x:is>
          <x:t xml:space="preserve">111 | Ba2MgSi2O7</x:t>
        </x:is>
      </x:c>
      <x:c r="B7" t="n">
        <x:v>2.74312260834069</x:v>
      </x:c>
      <x:c r="C7" t="n">
        <x:v>1.884984661724531</x:v>
      </x:c>
      <x:c r="D7" t="n">
        <x:v>2.009659971198674</x:v>
      </x:c>
      <x:c r="E7" t="n">
        <x:v>1.181756377155895</x:v>
      </x:c>
      <x:c r="F7" t="n">
        <x:v>2.426944136894539</x:v>
      </x:c>
      <x:c r="G7" t="n">
        <x:v>0</x:v>
      </x:c>
      <x:c r="H7" t="n">
        <x:v>1.324080238617545</x:v>
      </x:c>
      <x:c r="I7" t="n">
        <x:v>1.077770318031888</x:v>
      </x:c>
      <x:c r="J7" t="n">
        <x:v>1.437360804981574</x:v>
      </x:c>
      <x:c r="K7" t="n">
        <x:v>2.401767266478514</x:v>
      </x:c>
      <x:c r="L7" t="n">
        <x:v>2.264589168060649</x:v>
      </x:c>
      <x:c r="M7" t="n">
        <x:v>1.307970617681786</x:v>
      </x:c>
      <x:c r="N7" t="n">
        <x:v>2.047346557358667</x:v>
      </x:c>
      <x:c r="O7" t="n">
        <x:v>2.068220075611361</x:v>
      </x:c>
      <x:c r="P7" t="n">
        <x:v>2.668784364212635</x:v>
      </x:c>
    </x:row>
    <x:row r="8">
      <x:c r="A8" s="1" t="inlineStr">
        <x:is>
          <x:t xml:space="preserve">142 | Ba2Ca(BO3)2</x:t>
        </x:is>
      </x:c>
      <x:c r="B8" t="n">
        <x:v>3.019452867856774</x:v>
      </x:c>
      <x:c r="C8" t="n">
        <x:v>2.126499645604293</x:v>
      </x:c>
      <x:c r="D8" t="n">
        <x:v>2.038597871464271</x:v>
      </x:c>
      <x:c r="E8" t="n">
        <x:v>1.609499118718329</x:v>
      </x:c>
      <x:c r="F8" t="n">
        <x:v>2.586004206478388</x:v>
      </x:c>
      <x:c r="G8" t="n">
        <x:v>1.324080238617545</x:v>
      </x:c>
      <x:c r="H8" t="n">
        <x:v>0</x:v>
      </x:c>
      <x:c r="I8" t="n">
        <x:v>1.655488275448446</x:v>
      </x:c>
      <x:c r="J8" t="n">
        <x:v>1.744753069679137</x:v>
      </x:c>
      <x:c r="K8" t="n">
        <x:v>2.383226206858856</x:v>
      </x:c>
      <x:c r="L8" t="n">
        <x:v>2.380203013950501</x:v>
      </x:c>
      <x:c r="M8" t="n">
        <x:v>1.442479899025542</x:v>
      </x:c>
      <x:c r="N8" t="n">
        <x:v>2.295775185437834</x:v>
      </x:c>
      <x:c r="O8" t="n">
        <x:v>2.335505784006426</x:v>
      </x:c>
      <x:c r="P8" t="n">
        <x:v>2.634185521378227</x:v>
      </x:c>
    </x:row>
    <x:row r="9">
      <x:c r="A9" s="1" t="inlineStr">
        <x:is>
          <x:t xml:space="preserve">144 | Ba2Mg(PO4)2</x:t>
        </x:is>
      </x:c>
      <x:c r="B9" t="n">
        <x:v>3.074970504599144</x:v>
      </x:c>
      <x:c r="C9" t="n">
        <x:v>2.235107052864135</x:v>
      </x:c>
      <x:c r="D9" t="n">
        <x:v>2.208672400844927</x:v>
      </x:c>
      <x:c r="E9" t="n">
        <x:v>1.543253598661221</x:v>
      </x:c>
      <x:c r="F9" t="n">
        <x:v>2.489808223925192</x:v>
      </x:c>
      <x:c r="G9" t="n">
        <x:v>1.077770318031888</x:v>
      </x:c>
      <x:c r="H9" t="n">
        <x:v>1.655488275448446</x:v>
      </x:c>
      <x:c r="I9" t="n">
        <x:v>0</x:v>
      </x:c>
      <x:c r="J9" t="n">
        <x:v>1.583206648218334</x:v>
      </x:c>
      <x:c r="K9" t="n">
        <x:v>2.601692532079784</x:v>
      </x:c>
      <x:c r="L9" t="n">
        <x:v>2.473572396193042</x:v>
      </x:c>
      <x:c r="M9" t="n">
        <x:v>1.746209274820043</x:v>
      </x:c>
      <x:c r="N9" t="n">
        <x:v>1.813554797733422</x:v>
      </x:c>
      <x:c r="O9" t="n">
        <x:v>1.995915415250228</x:v>
      </x:c>
      <x:c r="P9" t="n">
        <x:v>2.714332611375992</x:v>
      </x:c>
    </x:row>
    <x:row r="10">
      <x:c r="A10" s="1" t="inlineStr">
        <x:is>
          <x:t xml:space="preserve">153 | Ba3Si6(NO6)2</x:t>
        </x:is>
      </x:c>
      <x:c r="B10" t="n">
        <x:v>2.88884839561553</x:v>
      </x:c>
      <x:c r="C10" t="n">
        <x:v>2.263852509860623</x:v>
      </x:c>
      <x:c r="D10" t="n">
        <x:v>2.308766294569891</x:v>
      </x:c>
      <x:c r="E10" t="n">
        <x:v>1.575497471352046</x:v>
      </x:c>
      <x:c r="F10" t="n">
        <x:v>2.25823230595936</x:v>
      </x:c>
      <x:c r="G10" t="n">
        <x:v>1.437360804981574</x:v>
      </x:c>
      <x:c r="H10" t="n">
        <x:v>1.744753069679137</x:v>
      </x:c>
      <x:c r="I10" t="n">
        <x:v>1.583206648218334</x:v>
      </x:c>
      <x:c r="J10" t="n">
        <x:v>0</x:v>
      </x:c>
      <x:c r="K10" t="n">
        <x:v>2.21825288443646</x:v>
      </x:c>
      <x:c r="L10" t="n">
        <x:v>2.240781584034105</x:v>
      </x:c>
      <x:c r="M10" t="n">
        <x:v>1.741278470598231</x:v>
      </x:c>
      <x:c r="N10" t="n">
        <x:v>2.379983095053708</x:v>
      </x:c>
      <x:c r="O10" t="n">
        <x:v>2.265967767720607</x:v>
      </x:c>
      <x:c r="P10" t="n">
        <x:v>2.967759437535486</x:v>
      </x:c>
    </x:row>
    <x:row r="11">
      <x:c r="A11" s="1" t="inlineStr">
        <x:is>
          <x:t xml:space="preserve">157 | BaNa(B3O5)3</x:t>
        </x:is>
      </x:c>
      <x:c r="B11" t="n">
        <x:v>2.976791672547009</x:v>
      </x:c>
      <x:c r="C11" t="n">
        <x:v>2.270305420339997</x:v>
      </x:c>
      <x:c r="D11" t="n">
        <x:v>2.444781971747143</x:v>
      </x:c>
      <x:c r="E11" t="n">
        <x:v>2.518034719528274</x:v>
      </x:c>
      <x:c r="F11" t="n">
        <x:v>2.444525338202612</x:v>
      </x:c>
      <x:c r="G11" t="n">
        <x:v>2.401767266478514</x:v>
      </x:c>
      <x:c r="H11" t="n">
        <x:v>2.383226206858856</x:v>
      </x:c>
      <x:c r="I11" t="n">
        <x:v>2.601692532079784</x:v>
      </x:c>
      <x:c r="J11" t="n">
        <x:v>2.21825288443646</x:v>
      </x:c>
      <x:c r="K11" t="n">
        <x:v>0</x:v>
      </x:c>
      <x:c r="L11" t="n">
        <x:v>2.237785678383976</x:v>
      </x:c>
      <x:c r="M11" t="n">
        <x:v>2.757681048583712</x:v>
      </x:c>
      <x:c r="N11" t="n">
        <x:v>2.693891681920914</x:v>
      </x:c>
      <x:c r="O11" t="n">
        <x:v>2.607249127426787</x:v>
      </x:c>
      <x:c r="P11" t="n">
        <x:v>2.680706999208295</x:v>
      </x:c>
    </x:row>
    <x:row r="12">
      <x:c r="A12" s="1" t="inlineStr">
        <x:is>
          <x:t xml:space="preserve">171 | BaLi2SiO4</x:t>
        </x:is>
      </x:c>
      <x:c r="B12" t="n">
        <x:v>1.773255743273699</x:v>
      </x:c>
      <x:c r="C12" t="n">
        <x:v>1.980328397953113</x:v>
      </x:c>
      <x:c r="D12" t="n">
        <x:v>1.737758403785605</x:v>
      </x:c>
      <x:c r="E12" t="n">
        <x:v>2.461841203010749</x:v>
      </x:c>
      <x:c r="F12" t="n">
        <x:v>1.645133935889765</x:v>
      </x:c>
      <x:c r="G12" t="n">
        <x:v>2.264589168060649</x:v>
      </x:c>
      <x:c r="H12" t="n">
        <x:v>2.380203013950501</x:v>
      </x:c>
      <x:c r="I12" t="n">
        <x:v>2.473572396193042</x:v>
      </x:c>
      <x:c r="J12" t="n">
        <x:v>2.240781584034105</x:v>
      </x:c>
      <x:c r="K12" t="n">
        <x:v>2.237785678383976</x:v>
      </x:c>
      <x:c r="L12" t="n">
        <x:v>0</x:v>
      </x:c>
      <x:c r="M12" t="n">
        <x:v>2.529860798567444</x:v>
      </x:c>
      <x:c r="N12" t="n">
        <x:v>2.05596698011568</x:v>
      </x:c>
      <x:c r="O12" t="n">
        <x:v>1.904450238326911</x:v>
      </x:c>
      <x:c r="P12" t="n">
        <x:v>1.708690373098635</x:v>
      </x:c>
    </x:row>
    <x:row r="13">
      <x:c r="A13" s="1" t="inlineStr">
        <x:is>
          <x:t xml:space="preserve">180 | Ba6Y2Al4O15</x:t>
        </x:is>
      </x:c>
      <x:c r="B13" t="n">
        <x:v>2.970586548159547</x:v>
      </x:c>
      <x:c r="C13" t="n">
        <x:v>1.979083313402783</x:v>
      </x:c>
      <x:c r="D13" t="n">
        <x:v>2.157444646586137</x:v>
      </x:c>
      <x:c r="E13" t="n">
        <x:v>1.470034073966157</x:v>
      </x:c>
      <x:c r="F13" t="n">
        <x:v>2.47914954096842</x:v>
      </x:c>
      <x:c r="G13" t="n">
        <x:v>1.307970617681786</x:v>
      </x:c>
      <x:c r="H13" t="n">
        <x:v>1.442479899025542</x:v>
      </x:c>
      <x:c r="I13" t="n">
        <x:v>1.746209274820043</x:v>
      </x:c>
      <x:c r="J13" t="n">
        <x:v>1.741278470598231</x:v>
      </x:c>
      <x:c r="K13" t="n">
        <x:v>2.757681048583712</x:v>
      </x:c>
      <x:c r="L13" t="n">
        <x:v>2.529860798567444</x:v>
      </x:c>
      <x:c r="M13" t="n">
        <x:v>0</x:v>
      </x:c>
      <x:c r="N13" t="n">
        <x:v>2.294534943291609</x:v>
      </x:c>
      <x:c r="O13" t="n">
        <x:v>2.285200724525443</x:v>
      </x:c>
      <x:c r="P13" t="n">
        <x:v>2.930765043786423</x:v>
      </x:c>
    </x:row>
    <x:row r="14">
      <x:c r="A14" s="1" t="inlineStr">
        <x:is>
          <x:t xml:space="preserve">199 | Cs2BaP2O7</x:t>
        </x:is>
      </x:c>
      <x:c r="B14" t="n">
        <x:v>2.489788798094958</x:v>
      </x:c>
      <x:c r="C14" t="n">
        <x:v>1.732234637050183</x:v>
      </x:c>
      <x:c r="D14" t="n">
        <x:v>1.958798867495954</x:v>
      </x:c>
      <x:c r="E14" t="n">
        <x:v>2.373342202289349</x:v>
      </x:c>
      <x:c r="F14" t="n">
        <x:v>2.209573625062782</x:v>
      </x:c>
      <x:c r="G14" t="n">
        <x:v>2.047346557358667</x:v>
      </x:c>
      <x:c r="H14" t="n">
        <x:v>2.295775185437834</x:v>
      </x:c>
      <x:c r="I14" t="n">
        <x:v>1.813554797733422</x:v>
      </x:c>
      <x:c r="J14" t="n">
        <x:v>2.379983095053708</x:v>
      </x:c>
      <x:c r="K14" t="n">
        <x:v>2.693891681920914</x:v>
      </x:c>
      <x:c r="L14" t="n">
        <x:v>2.05596698011568</x:v>
      </x:c>
      <x:c r="M14" t="n">
        <x:v>2.294534943291609</x:v>
      </x:c>
      <x:c r="N14" t="n">
        <x:v>0</x:v>
      </x:c>
      <x:c r="O14" t="n">
        <x:v>1.796756808732455</x:v>
      </x:c>
      <x:c r="P14" t="n">
        <x:v>2.193421516162295</x:v>
      </x:c>
    </x:row>
    <x:row r="15">
      <x:c r="A15" s="1" t="inlineStr">
        <x:is>
          <x:t xml:space="preserve">261 | NaCaPO4</x:t>
        </x:is>
      </x:c>
      <x:c r="B15" t="n">
        <x:v>2.365725012003105</x:v>
      </x:c>
      <x:c r="C15" t="n">
        <x:v>1.668458410039074</x:v>
      </x:c>
      <x:c r="D15" t="n">
        <x:v>1.617413499795998</x:v>
      </x:c>
      <x:c r="E15" t="n">
        <x:v>2.015947433453698</x:v>
      </x:c>
      <x:c r="F15" t="n">
        <x:v>1.775065134530053</x:v>
      </x:c>
      <x:c r="G15" t="n">
        <x:v>2.068220075611361</x:v>
      </x:c>
      <x:c r="H15" t="n">
        <x:v>2.335505784006426</x:v>
      </x:c>
      <x:c r="I15" t="n">
        <x:v>1.995915415250228</x:v>
      </x:c>
      <x:c r="J15" t="n">
        <x:v>2.265967767720607</x:v>
      </x:c>
      <x:c r="K15" t="n">
        <x:v>2.607249127426787</x:v>
      </x:c>
      <x:c r="L15" t="n">
        <x:v>1.904450238326911</x:v>
      </x:c>
      <x:c r="M15" t="n">
        <x:v>2.285200724525443</x:v>
      </x:c>
      <x:c r="N15" t="n">
        <x:v>1.796756808732455</x:v>
      </x:c>
      <x:c r="O15" t="n">
        <x:v>0</x:v>
      </x:c>
      <x:c r="P15" t="n">
        <x:v>2.077589957205308</x:v>
      </x:c>
    </x:row>
    <x:row r="16">
      <x:c r="A16" s="1" t="inlineStr">
        <x:is>
          <x:t xml:space="preserve">283 | RbLi7(SiO4)2</x:t>
        </x:is>
      </x:c>
      <x:c r="B16" t="n">
        <x:v>1.992470925738918</x:v>
      </x:c>
      <x:c r="C16" t="n">
        <x:v>2.054394398107948</x:v>
      </x:c>
      <x:c r="D16" t="n">
        <x:v>1.996588803042687</x:v>
      </x:c>
      <x:c r="E16" t="n">
        <x:v>2.76163960926684</x:v>
      </x:c>
      <x:c r="F16" t="n">
        <x:v>2.240670501556263</x:v>
      </x:c>
      <x:c r="G16" t="n">
        <x:v>2.668784364212635</x:v>
      </x:c>
      <x:c r="H16" t="n">
        <x:v>2.634185521378227</x:v>
      </x:c>
      <x:c r="I16" t="n">
        <x:v>2.714332611375992</x:v>
      </x:c>
      <x:c r="J16" t="n">
        <x:v>2.967759437535486</x:v>
      </x:c>
      <x:c r="K16" t="n">
        <x:v>2.680706999208295</x:v>
      </x:c>
      <x:c r="L16" t="n">
        <x:v>1.708690373098635</x:v>
      </x:c>
      <x:c r="M16" t="n">
        <x:v>2.930765043786423</x:v>
      </x:c>
      <x:c r="N16" t="n">
        <x:v>2.193421516162295</x:v>
      </x:c>
      <x:c r="O16" t="n">
        <x:v>2.077589957205308</x:v>
      </x:c>
      <x:c r="P16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Benchmark</x:t>
        </x:is>
      </x:c>
      <x:c r="B1" s="1" t="inlineStr">
        <x:is>
          <x:t xml:space="preserve">14 | K2RbNaLi12(SiO4)4</x:t>
        </x:is>
      </x:c>
      <x:c r="C1" s="1" t="inlineStr">
        <x:is>
          <x:t xml:space="preserve">15 | Rb2ZrSi2O7</x:t>
        </x:is>
      </x:c>
      <x:c r="D1" s="1" t="inlineStr">
        <x:is>
          <x:t xml:space="preserve">16 | Sr2LiSiO4F</x:t>
        </x:is>
      </x:c>
      <x:c r="E1" s="1" t="inlineStr">
        <x:is>
          <x:t xml:space="preserve">17 | SrAl2O4</x:t>
        </x:is>
      </x:c>
      <x:c r="F1" s="1" t="inlineStr">
        <x:is>
          <x:t xml:space="preserve">95 | Na3YSi2O7</x:t>
        </x:is>
      </x:c>
      <x:c r="G1" s="1" t="inlineStr">
        <x:is>
          <x:t xml:space="preserve">111 | Ba2MgSi2O7</x:t>
        </x:is>
      </x:c>
      <x:c r="H1" s="1" t="inlineStr">
        <x:is>
          <x:t xml:space="preserve">142 | Ba2Ca(BO3)2</x:t>
        </x:is>
      </x:c>
      <x:c r="I1" s="1" t="inlineStr">
        <x:is>
          <x:t xml:space="preserve">144 | Ba2Mg(PO4)2</x:t>
        </x:is>
      </x:c>
      <x:c r="J1" s="1" t="inlineStr">
        <x:is>
          <x:t xml:space="preserve">153 | Ba3Si6(NO6)2</x:t>
        </x:is>
      </x:c>
      <x:c r="K1" s="1" t="inlineStr">
        <x:is>
          <x:t xml:space="preserve">157 | BaNa(B3O5)3</x:t>
        </x:is>
      </x:c>
      <x:c r="L1" s="1" t="inlineStr">
        <x:is>
          <x:t xml:space="preserve">171 | BaLi2SiO4</x:t>
        </x:is>
      </x:c>
      <x:c r="M1" s="1" t="inlineStr">
        <x:is>
          <x:t xml:space="preserve">180 | Ba6Y2Al4O15</x:t>
        </x:is>
      </x:c>
      <x:c r="N1" s="1" t="inlineStr">
        <x:is>
          <x:t xml:space="preserve">199 | Cs2BaP2O7</x:t>
        </x:is>
      </x:c>
      <x:c r="O1" s="1" t="inlineStr">
        <x:is>
          <x:t xml:space="preserve">261 | NaCaPO4</x:t>
        </x:is>
      </x:c>
      <x:c r="P1" s="1" t="inlineStr">
        <x:is>
          <x:t xml:space="preserve">283 | RbLi7(SiO4)2</x:t>
        </x:is>
      </x:c>
    </x:row>
    <x:row r="2">
      <x:c r="A2" s="1" t="inlineStr">
        <x:is>
          <x:t xml:space="preserve">14 | K2RbNaLi12(SiO4)4</x:t>
        </x:is>
      </x:c>
      <x:c r="B2" t="n">
        <x:v>0</x:v>
      </x:c>
      <x:c r="C2" t="n">
        <x:v>0.7851963569532828</x:v>
      </x:c>
      <x:c r="D2" t="n">
        <x:v>0.6556966702271779</x:v>
      </x:c>
      <x:c r="E2" t="n">
        <x:v>0.9291399519008832</x:v>
      </x:c>
      <x:c r="F2" t="n">
        <x:v>0.7329750065067575</x:v>
      </x:c>
      <x:c r="G2" t="n">
        <x:v>0.8920809497970407</x:v>
      </x:c>
      <x:c r="H2" t="n">
        <x:v>0.9819453108056372</x:v>
      </x:c>
      <x:c r="I2" t="n">
        <x:v>1</x:v>
      </x:c>
      <x:c r="J2" t="n">
        <x:v>0.9394719042978665</x:v>
      </x:c>
      <x:c r="K2" t="n">
        <x:v>0.9680716182788447</x:v>
      </x:c>
      <x:c r="L2" t="n">
        <x:v>0.576674065855751</x:v>
      </x:c>
      <x:c r="M2" t="n">
        <x:v>0.9660536722926369</x:v>
      </x:c>
      <x:c r="N2" t="n">
        <x:v>0.8096951806110181</x:v>
      </x:c>
      <x:c r="O2" t="n">
        <x:v>0.7693488469124367</x:v>
      </x:c>
      <x:c r="P2" t="n">
        <x:v>0.6479642399037119</x:v>
      </x:c>
    </x:row>
    <x:row r="3">
      <x:c r="A3" s="1" t="inlineStr">
        <x:is>
          <x:t xml:space="preserve">15 | Rb2ZrSi2O7</x:t>
        </x:is>
      </x:c>
      <x:c r="B3" t="n">
        <x:v>0.7851963569532828</x:v>
      </x:c>
      <x:c r="C3" t="n">
        <x:v>0</x:v>
      </x:c>
      <x:c r="D3" t="n">
        <x:v>0.5719778800923953</x:v>
      </x:c>
      <x:c r="E3" t="n">
        <x:v>0.6092745497612058</x:v>
      </x:c>
      <x:c r="F3" t="n">
        <x:v>0.6460792409034275</x:v>
      </x:c>
      <x:c r="G3" t="n">
        <x:v>0.6130090220069475</x:v>
      </x:c>
      <x:c r="H3" t="n">
        <x:v>0.6915512335561429</x:v>
      </x:c>
      <x:c r="I3" t="n">
        <x:v>0.7268710543795951</x:v>
      </x:c>
      <x:c r="J3" t="n">
        <x:v>0.736219260144006</x:v>
      </x:c>
      <x:c r="K3" t="n">
        <x:v>0.7383177877460507</x:v>
      </x:c>
      <x:c r="L3" t="n">
        <x:v>0.6440154125027195</x:v>
      </x:c>
      <x:c r="M3" t="n">
        <x:v>0.6436105030740051</x:v>
      </x:c>
      <x:c r="N3" t="n">
        <x:v>0.5633337407494902</x:v>
      </x:c>
      <x:c r="O3" t="n">
        <x:v>0.5425933053808513</x:v>
      </x:c>
      <x:c r="P3" t="n">
        <x:v>0.6681021476580831</x:v>
      </x:c>
    </x:row>
    <x:row r="4">
      <x:c r="A4" s="1" t="inlineStr">
        <x:is>
          <x:t xml:space="preserve">16 | Sr2LiSiO4F</x:t>
        </x:is>
      </x:c>
      <x:c r="B4" t="n">
        <x:v>0.6556966702271779</x:v>
      </x:c>
      <x:c r="C4" t="n">
        <x:v>0.5719778800923953</x:v>
      </x:c>
      <x:c r="D4" t="n">
        <x:v>0</x:v>
      </x:c>
      <x:c r="E4" t="n">
        <x:v>0.7086134941728047</x:v>
      </x:c>
      <x:c r="F4" t="n">
        <x:v>0.7051760501580906</x:v>
      </x:c>
      <x:c r="G4" t="n">
        <x:v>0.6535542270057172</x:v>
      </x:c>
      <x:c r="H4" t="n">
        <x:v>0.6629650165473779</x:v>
      </x:c>
      <x:c r="I4" t="n">
        <x:v>0.7182743371168858</x:v>
      </x:c>
      <x:c r="J4" t="n">
        <x:v>0.7508255090956926</x:v>
      </x:c>
      <x:c r="K4" t="n">
        <x:v>0.7950586739256695</x:v>
      </x:c>
      <x:c r="L4" t="n">
        <x:v>0.5651301048860436</x:v>
      </x:c>
      <x:c r="M4" t="n">
        <x:v>0.701614745038793</x:v>
      </x:c>
      <x:c r="N4" t="n">
        <x:v>0.6370138720245397</x:v>
      </x:c>
      <x:c r="O4" t="n">
        <x:v>0.5259931753416429</x:v>
      </x:c>
      <x:c r="P4" t="n">
        <x:v>0.6493033998395912</x:v>
      </x:c>
    </x:row>
    <x:row r="5">
      <x:c r="A5" s="1" t="inlineStr">
        <x:is>
          <x:t xml:space="preserve">17 | SrAl2O4</x:t>
        </x:is>
      </x:c>
      <x:c r="B5" t="n">
        <x:v>0.9291399519008832</x:v>
      </x:c>
      <x:c r="C5" t="n">
        <x:v>0.6092745497612058</x:v>
      </x:c>
      <x:c r="D5" t="n">
        <x:v>0.7086134941728047</x:v>
      </x:c>
      <x:c r="E5" t="n">
        <x:v>0</x:v>
      </x:c>
      <x:c r="F5" t="n">
        <x:v>0.7617530188763588</x:v>
      </x:c>
      <x:c r="G5" t="n">
        <x:v>0.3843147033080078</x:v>
      </x:c>
      <x:c r="H5" t="n">
        <x:v>0.5234193681894014</x:v>
      </x:c>
      <x:c r="I5" t="n">
        <x:v>0.5018759029893203</x:v>
      </x:c>
      <x:c r="J5" t="n">
        <x:v>0.5123618158273781</x:v>
      </x:c>
      <x:c r="K5" t="n">
        <x:v>0.818880934227539</x:v>
      </x:c>
      <x:c r="L5" t="n">
        <x:v>0.8006064446239872</x:v>
      </x:c>
      <x:c r="M5" t="n">
        <x:v>0.478064447046718</x:v>
      </x:c>
      <x:c r="N5" t="n">
        <x:v>0.7718260057257819</x:v>
      </x:c>
      <x:c r="O5" t="n">
        <x:v>0.6555989497910641</x:v>
      </x:c>
      <x:c r="P5" t="n">
        <x:v>0.898102796477669</x:v>
      </x:c>
    </x:row>
    <x:row r="6">
      <x:c r="A6" s="1" t="inlineStr">
        <x:is>
          <x:t xml:space="preserve">95 | Na3YSi2O7</x:t>
        </x:is>
      </x:c>
      <x:c r="B6" t="n">
        <x:v>0.7329750065067575</x:v>
      </x:c>
      <x:c r="C6" t="n">
        <x:v>0.6460792409034275</x:v>
      </x:c>
      <x:c r="D6" t="n">
        <x:v>0.7051760501580906</x:v>
      </x:c>
      <x:c r="E6" t="n">
        <x:v>0.7617530188763588</x:v>
      </x:c>
      <x:c r="F6" t="n">
        <x:v>0</x:v>
      </x:c>
      <x:c r="G6" t="n">
        <x:v>0.7892576963794055</x:v>
      </x:c>
      <x:c r="H6" t="n">
        <x:v>0.8409850444453292</x:v>
      </x:c>
      <x:c r="I6" t="n">
        <x:v>0.8097014980147804</x:v>
      </x:c>
      <x:c r="J6" t="n">
        <x:v>0.73439153402668</x:v>
      </x:c>
      <x:c r="K6" t="n">
        <x:v>0.7949752150618702</x:v>
      </x:c>
      <x:c r="L6" t="n">
        <x:v>0.5350080377776585</x:v>
      </x:c>
      <x:c r="M6" t="n">
        <x:v>0.8062352264063763</x:v>
      </x:c>
      <x:c r="N6" t="n">
        <x:v>0.7185674209746034</x:v>
      </x:c>
      <x:c r="O6" t="n">
        <x:v>0.5772624914206947</x:v>
      </x:c>
      <x:c r="P6" t="n">
        <x:v>0.7286803233412994</x:v>
      </x:c>
    </x:row>
    <x:row r="7">
      <x:c r="A7" s="1" t="inlineStr">
        <x:is>
          <x:t xml:space="preserve">111 | Ba2MgSi2O7</x:t>
        </x:is>
      </x:c>
      <x:c r="B7" t="n">
        <x:v>0.8920809497970407</x:v>
      </x:c>
      <x:c r="C7" t="n">
        <x:v>0.6130090220069475</x:v>
      </x:c>
      <x:c r="D7" t="n">
        <x:v>0.6535542270057172</x:v>
      </x:c>
      <x:c r="E7" t="n">
        <x:v>0.3843147033080078</x:v>
      </x:c>
      <x:c r="F7" t="n">
        <x:v>0.7892576963794055</x:v>
      </x:c>
      <x:c r="G7" t="n">
        <x:v>0</x:v>
      </x:c>
      <x:c r="H7" t="n">
        <x:v>0.4305993298593129</x:v>
      </x:c>
      <x:c r="I7" t="n">
        <x:v>0.3504977743428428</x:v>
      </x:c>
      <x:c r="J7" t="n">
        <x:v>0.4674388917980694</x:v>
      </x:c>
      <x:c r="K7" t="n">
        <x:v>0.7810700177078967</x:v>
      </x:c>
      <x:c r="L7" t="n">
        <x:v>0.7364588260842077</x:v>
      </x:c>
      <x:c r="M7" t="n">
        <x:v>0.4253603784899702</x:v>
      </x:c>
      <x:c r="N7" t="n">
        <x:v>0.665810144941719</x:v>
      </x:c>
      <x:c r="O7" t="n">
        <x:v>0.6725983460712823</x:v>
      </x:c>
      <x:c r="P7" t="n">
        <x:v>0.8679056791670072</x:v>
      </x:c>
    </x:row>
    <x:row r="8">
      <x:c r="A8" s="1" t="inlineStr">
        <x:is>
          <x:t xml:space="preserve">142 | Ba2Ca(BO3)2</x:t>
        </x:is>
      </x:c>
      <x:c r="B8" t="n">
        <x:v>0.9819453108056372</x:v>
      </x:c>
      <x:c r="C8" t="n">
        <x:v>0.6915512335561429</x:v>
      </x:c>
      <x:c r="D8" t="n">
        <x:v>0.6629650165473779</x:v>
      </x:c>
      <x:c r="E8" t="n">
        <x:v>0.5234193681894014</x:v>
      </x:c>
      <x:c r="F8" t="n">
        <x:v>0.8409850444453292</x:v>
      </x:c>
      <x:c r="G8" t="n">
        <x:v>0.4305993298593129</x:v>
      </x:c>
      <x:c r="H8" t="n">
        <x:v>0</x:v>
      </x:c>
      <x:c r="I8" t="n">
        <x:v>0.5383753349739063</x:v>
      </x:c>
      <x:c r="J8" t="n">
        <x:v>0.5674048148005193</x:v>
      </x:c>
      <x:c r="K8" t="n">
        <x:v>0.7750403469868519</x:v>
      </x:c>
      <x:c r="L8" t="n">
        <x:v>0.7740571853910471</x:v>
      </x:c>
      <x:c r="M8" t="n">
        <x:v>0.4691036537970255</x:v>
      </x:c>
      <x:c r="N8" t="n">
        <x:v>0.7466007176342374</x:v>
      </x:c>
      <x:c r="O8" t="n">
        <x:v>0.7595213614287609</x:v>
      </x:c>
      <x:c r="P8" t="n">
        <x:v>0.856653915033771</x:v>
      </x:c>
    </x:row>
    <x:row r="9">
      <x:c r="A9" s="1" t="inlineStr">
        <x:is>
          <x:t xml:space="preserve">144 | Ba2Mg(PO4)2</x:t>
        </x:is>
      </x:c>
      <x:c r="B9" t="n">
        <x:v>1</x:v>
      </x:c>
      <x:c r="C9" t="n">
        <x:v>0.7268710543795951</x:v>
      </x:c>
      <x:c r="D9" t="n">
        <x:v>0.7182743371168859</x:v>
      </x:c>
      <x:c r="E9" t="n">
        <x:v>0.5018759029893203</x:v>
      </x:c>
      <x:c r="F9" t="n">
        <x:v>0.8097014980147804</x:v>
      </x:c>
      <x:c r="G9" t="n">
        <x:v>0.3504977743428428</x:v>
      </x:c>
      <x:c r="H9" t="n">
        <x:v>0.5383753349739063</x:v>
      </x:c>
      <x:c r="I9" t="n">
        <x:v>0</x:v>
      </x:c>
      <x:c r="J9" t="n">
        <x:v>0.5148688892626379</x:v>
      </x:c>
      <x:c r="K9" t="n">
        <x:v>0.8460869878876911</x:v>
      </x:c>
      <x:c r="L9" t="n">
        <x:v>0.8044215033911355</x:v>
      </x:c>
      <x:c r="M9" t="n">
        <x:v>0.567878381990425</x:v>
      </x:c>
      <x:c r="N9" t="n">
        <x:v>0.5897795751279372</x:v>
      </x:c>
      <x:c r="O9" t="n">
        <x:v>0.6490844098390522</x:v>
      </x:c>
      <x:c r="P9" t="n">
        <x:v>0.8827182593511852</x:v>
      </x:c>
    </x:row>
    <x:row r="10">
      <x:c r="A10" s="1" t="inlineStr">
        <x:is>
          <x:t xml:space="preserve">153 | Ba3Si6(NO6)2</x:t>
        </x:is>
      </x:c>
      <x:c r="B10" t="n">
        <x:v>0.9394719042978665</x:v>
      </x:c>
      <x:c r="C10" t="n">
        <x:v>0.736219260144006</x:v>
      </x:c>
      <x:c r="D10" t="n">
        <x:v>0.7508255090956926</x:v>
      </x:c>
      <x:c r="E10" t="n">
        <x:v>0.5123618158273781</x:v>
      </x:c>
      <x:c r="F10" t="n">
        <x:v>0.73439153402668</x:v>
      </x:c>
      <x:c r="G10" t="n">
        <x:v>0.4674388917980694</x:v>
      </x:c>
      <x:c r="H10" t="n">
        <x:v>0.5674048148005193</x:v>
      </x:c>
      <x:c r="I10" t="n">
        <x:v>0.5148688892626379</x:v>
      </x:c>
      <x:c r="J10" t="n">
        <x:v>0</x:v>
      </x:c>
      <x:c r="K10" t="n">
        <x:v>0.7213899714220618</x:v>
      </x:c>
      <x:c r="L10" t="n">
        <x:v>0.7287164480708459</x:v>
      </x:c>
      <x:c r="M10" t="n">
        <x:v>0.5662748530413061</x:v>
      </x:c>
      <x:c r="N10" t="n">
        <x:v>0.7739856663646159</x:v>
      </x:c>
      <x:c r="O10" t="n">
        <x:v>0.7369071554772526</x:v>
      </x:c>
      <x:c r="P10" t="n">
        <x:v>0.9651342779050056</x:v>
      </x:c>
    </x:row>
    <x:row r="11">
      <x:c r="A11" s="1" t="inlineStr">
        <x:is>
          <x:t xml:space="preserve">157 | BaNa(B3O5)3</x:t>
        </x:is>
      </x:c>
      <x:c r="B11" t="n">
        <x:v>0.9680716182788447</x:v>
      </x:c>
      <x:c r="C11" t="n">
        <x:v>0.7383177877460506</x:v>
      </x:c>
      <x:c r="D11" t="n">
        <x:v>0.7950586739256695</x:v>
      </x:c>
      <x:c r="E11" t="n">
        <x:v>0.818880934227539</x:v>
      </x:c>
      <x:c r="F11" t="n">
        <x:v>0.7949752150618702</x:v>
      </x:c>
      <x:c r="G11" t="n">
        <x:v>0.7810700177078967</x:v>
      </x:c>
      <x:c r="H11" t="n">
        <x:v>0.7750403469868519</x:v>
      </x:c>
      <x:c r="I11" t="n">
        <x:v>0.8460869878876911</x:v>
      </x:c>
      <x:c r="J11" t="n">
        <x:v>0.7213899714220618</x:v>
      </x:c>
      <x:c r="K11" t="n">
        <x:v>0</x:v>
      </x:c>
      <x:c r="L11" t="n">
        <x:v>0.7277421604652743</x:v>
      </x:c>
      <x:c r="M11" t="n">
        <x:v>0.896815447321894</x:v>
      </x:c>
      <x:c r="N11" t="n">
        <x:v>0.8760707388548079</x:v>
      </x:c>
      <x:c r="O11" t="n">
        <x:v>0.8478940280978957</x:v>
      </x:c>
      <x:c r="P11" t="n">
        <x:v>0.871782996031617</x:v>
      </x:c>
    </x:row>
    <x:row r="12">
      <x:c r="A12" s="1" t="inlineStr">
        <x:is>
          <x:t xml:space="preserve">171 | BaLi2SiO4</x:t>
        </x:is>
      </x:c>
      <x:c r="B12" t="n">
        <x:v>0.576674065855751</x:v>
      </x:c>
      <x:c r="C12" t="n">
        <x:v>0.6440154125027195</x:v>
      </x:c>
      <x:c r="D12" t="n">
        <x:v>0.5651301048860436</x:v>
      </x:c>
      <x:c r="E12" t="n">
        <x:v>0.8006064446239872</x:v>
      </x:c>
      <x:c r="F12" t="n">
        <x:v>0.5350080377776585</x:v>
      </x:c>
      <x:c r="G12" t="n">
        <x:v>0.7364588260842077</x:v>
      </x:c>
      <x:c r="H12" t="n">
        <x:v>0.7740571853910471</x:v>
      </x:c>
      <x:c r="I12" t="n">
        <x:v>0.8044215033911355</x:v>
      </x:c>
      <x:c r="J12" t="n">
        <x:v>0.7287164480708459</x:v>
      </x:c>
      <x:c r="K12" t="n">
        <x:v>0.7277421604652743</x:v>
      </x:c>
      <x:c r="L12" t="n">
        <x:v>0</x:v>
      </x:c>
      <x:c r="M12" t="n">
        <x:v>0.8227268504799006</x:v>
      </x:c>
      <x:c r="N12" t="n">
        <x:v>0.6686135613465657</x:v>
      </x:c>
      <x:c r="O12" t="n">
        <x:v>0.6193393515412521</x:v>
      </x:c>
      <x:c r="P12" t="n">
        <x:v>0.555676996102238</x:v>
      </x:c>
    </x:row>
    <x:row r="13">
      <x:c r="A13" s="1" t="inlineStr">
        <x:is>
          <x:t xml:space="preserve">180 | Ba6Y2Al4O15</x:t>
        </x:is>
      </x:c>
      <x:c r="B13" t="n">
        <x:v>0.9660536722926371</x:v>
      </x:c>
      <x:c r="C13" t="n">
        <x:v>0.6436105030740051</x:v>
      </x:c>
      <x:c r="D13" t="n">
        <x:v>0.701614745038793</x:v>
      </x:c>
      <x:c r="E13" t="n">
        <x:v>0.478064447046718</x:v>
      </x:c>
      <x:c r="F13" t="n">
        <x:v>0.8062352264063763</x:v>
      </x:c>
      <x:c r="G13" t="n">
        <x:v>0.4253603784899702</x:v>
      </x:c>
      <x:c r="H13" t="n">
        <x:v>0.4691036537970255</x:v>
      </x:c>
      <x:c r="I13" t="n">
        <x:v>0.567878381990425</x:v>
      </x:c>
      <x:c r="J13" t="n">
        <x:v>0.5662748530413061</x:v>
      </x:c>
      <x:c r="K13" t="n">
        <x:v>0.896815447321894</x:v>
      </x:c>
      <x:c r="L13" t="n">
        <x:v>0.8227268504799006</x:v>
      </x:c>
      <x:c r="M13" t="n">
        <x:v>0</x:v>
      </x:c>
      <x:c r="N13" t="n">
        <x:v>0.7461973829861911</x:v>
      </x:c>
      <x:c r="O13" t="n">
        <x:v>0.7431618355712792</x:v>
      </x:c>
      <x:c r="P13" t="n">
        <x:v>0.9531034653512813</x:v>
      </x:c>
    </x:row>
    <x:row r="14">
      <x:c r="A14" s="1" t="inlineStr">
        <x:is>
          <x:t xml:space="preserve">199 | Cs2BaP2O7</x:t>
        </x:is>
      </x:c>
      <x:c r="B14" t="n">
        <x:v>0.8096951806110181</x:v>
      </x:c>
      <x:c r="C14" t="n">
        <x:v>0.5633337407494902</x:v>
      </x:c>
      <x:c r="D14" t="n">
        <x:v>0.6370138720245397</x:v>
      </x:c>
      <x:c r="E14" t="n">
        <x:v>0.7718260057257819</x:v>
      </x:c>
      <x:c r="F14" t="n">
        <x:v>0.7185674209746034</x:v>
      </x:c>
      <x:c r="G14" t="n">
        <x:v>0.665810144941719</x:v>
      </x:c>
      <x:c r="H14" t="n">
        <x:v>0.7466007176342374</x:v>
      </x:c>
      <x:c r="I14" t="n">
        <x:v>0.5897795751279372</x:v>
      </x:c>
      <x:c r="J14" t="n">
        <x:v>0.7739856663646159</x:v>
      </x:c>
      <x:c r="K14" t="n">
        <x:v>0.8760707388548079</x:v>
      </x:c>
      <x:c r="L14" t="n">
        <x:v>0.6686135613465657</x:v>
      </x:c>
      <x:c r="M14" t="n">
        <x:v>0.7461973829861911</x:v>
      </x:c>
      <x:c r="N14" t="n">
        <x:v>0</x:v>
      </x:c>
      <x:c r="O14" t="n">
        <x:v>0.5843167620779118</x:v>
      </x:c>
      <x:c r="P14" t="n">
        <x:v>0.7133146522484227</x:v>
      </x:c>
    </x:row>
    <x:row r="15">
      <x:c r="A15" s="1" t="inlineStr">
        <x:is>
          <x:t xml:space="preserve">261 | NaCaPO4</x:t>
        </x:is>
      </x:c>
      <x:c r="B15" t="n">
        <x:v>0.7693488469124367</x:v>
      </x:c>
      <x:c r="C15" t="n">
        <x:v>0.5425933053808513</x:v>
      </x:c>
      <x:c r="D15" t="n">
        <x:v>0.5259931753416429</x:v>
      </x:c>
      <x:c r="E15" t="n">
        <x:v>0.6555989497910641</x:v>
      </x:c>
      <x:c r="F15" t="n">
        <x:v>0.5772624914206947</x:v>
      </x:c>
      <x:c r="G15" t="n">
        <x:v>0.6725983460712823</x:v>
      </x:c>
      <x:c r="H15" t="n">
        <x:v>0.7595213614287609</x:v>
      </x:c>
      <x:c r="I15" t="n">
        <x:v>0.6490844098390522</x:v>
      </x:c>
      <x:c r="J15" t="n">
        <x:v>0.7369071554772526</x:v>
      </x:c>
      <x:c r="K15" t="n">
        <x:v>0.8478940280978957</x:v>
      </x:c>
      <x:c r="L15" t="n">
        <x:v>0.6193393515412521</x:v>
      </x:c>
      <x:c r="M15" t="n">
        <x:v>0.7431618355712792</x:v>
      </x:c>
      <x:c r="N15" t="n">
        <x:v>0.5843167620779118</x:v>
      </x:c>
      <x:c r="O15" t="n">
        <x:v>0</x:v>
      </x:c>
      <x:c r="P15" t="n">
        <x:v>0.6756454912650113</x:v>
      </x:c>
    </x:row>
    <x:row r="16">
      <x:c r="A16" s="1" t="inlineStr">
        <x:is>
          <x:t xml:space="preserve">283 | RbLi7(SiO4)2</x:t>
        </x:is>
      </x:c>
      <x:c r="B16" t="n">
        <x:v>0.6479642399037119</x:v>
      </x:c>
      <x:c r="C16" t="n">
        <x:v>0.6681021476580831</x:v>
      </x:c>
      <x:c r="D16" t="n">
        <x:v>0.6493033998395912</x:v>
      </x:c>
      <x:c r="E16" t="n">
        <x:v>0.898102796477669</x:v>
      </x:c>
      <x:c r="F16" t="n">
        <x:v>0.7286803233412994</x:v>
      </x:c>
      <x:c r="G16" t="n">
        <x:v>0.8679056791670072</x:v>
      </x:c>
      <x:c r="H16" t="n">
        <x:v>0.856653915033771</x:v>
      </x:c>
      <x:c r="I16" t="n">
        <x:v>0.8827182593511852</x:v>
      </x:c>
      <x:c r="J16" t="n">
        <x:v>0.9651342779050056</x:v>
      </x:c>
      <x:c r="K16" t="n">
        <x:v>0.871782996031617</x:v>
      </x:c>
      <x:c r="L16" t="n">
        <x:v>0.555676996102238</x:v>
      </x:c>
      <x:c r="M16" t="n">
        <x:v>0.9531034653512813</x:v>
      </x:c>
      <x:c r="N16" t="n">
        <x:v>0.7133146522484227</x:v>
      </x:c>
      <x:c r="O16" t="n">
        <x:v>0.6756454912650113</x:v>
      </x:c>
      <x:c r="P16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1" max="11" width="20" hidden="0" customWidth="1"/>
  </x:cols>
  <x:sheetData>
    <x:row r="1">
      <x:c r="A1" s="1" t="inlineStr">
        <x:is>
          <x:t xml:space="preserve">Pair_Rank_From_Nearest</x:t>
        </x:is>
      </x:c>
      <x:c r="B1" s="1" t="inlineStr">
        <x:is>
          <x:t xml:space="preserve">Benchmark_A_Number</x:t>
        </x:is>
      </x:c>
      <x:c r="C1" s="1" t="inlineStr">
        <x:is>
          <x:t xml:space="preserve">Benchmark_A_Composition</x:t>
        </x:is>
      </x:c>
      <x:c r="D1" s="1" t="inlineStr">
        <x:is>
          <x:t xml:space="preserve">Cluster_A</x:t>
        </x:is>
      </x:c>
      <x:c r="E1" s="1" t="inlineStr">
        <x:is>
          <x:t xml:space="preserve">Benchmark_B_Number</x:t>
        </x:is>
      </x:c>
      <x:c r="F1" s="1" t="inlineStr">
        <x:is>
          <x:t xml:space="preserve">Benchmark_B_Composition</x:t>
        </x:is>
      </x:c>
      <x:c r="G1" s="1" t="inlineStr">
        <x:is>
          <x:t xml:space="preserve">Cluster_B</x:t>
        </x:is>
      </x:c>
      <x:c r="H1" s="1" t="inlineStr">
        <x:is>
          <x:t xml:space="preserve">Same_Cluster</x:t>
        </x:is>
      </x:c>
      <x:c r="I1" s="1" t="inlineStr">
        <x:is>
          <x:t xml:space="preserve">Euclidean_Distance</x:t>
        </x:is>
      </x:c>
      <x:c r="J1" s="1" t="inlineStr">
        <x:is>
          <x:t xml:space="preserve">Normalized_Euclidean_Distance</x:t>
        </x:is>
      </x:c>
      <x:c r="K1" s="7" t="str">
        <x:v>FWHM_Difference_nm</x:v>
      </x:c>
    </x:row>
    <x:row r="2">
      <x:c r="A2" t="n">
        <x:v>1</x:v>
      </x:c>
      <x:c r="B2" t="n">
        <x:v>111</x:v>
      </x:c>
      <x:c r="C2" t="inlineStr">
        <x:is>
          <x:t xml:space="preserve">Ba2MgSi2O7</x:t>
        </x:is>
      </x:c>
      <x:c r="D2" t="n">
        <x:v>0</x:v>
      </x:c>
      <x:c r="E2" t="n">
        <x:v>144</x:v>
      </x:c>
      <x:c r="F2" t="inlineStr">
        <x:is>
          <x:t xml:space="preserve">Ba2Mg(PO4)2</x:t>
        </x:is>
      </x:c>
      <x:c r="G2" t="n">
        <x:v>0</x:v>
      </x:c>
      <x:c r="H2" t="b">
        <x:v>1</x:v>
      </x:c>
      <x:c r="I2" t="n">
        <x:v>1.077770318031888</x:v>
      </x:c>
      <x:c r="J2" t="n">
        <x:v>0.3504977743428428</x:v>
      </x:c>
      <x:c r="K2" s="12" t="n">
        <x:f>ABS(VLOOKUP(C2,Benchmark_Properties!$A$2:$B$16,2,FALSE)-VLOOKUP(F2,Benchmark_Properties!$A$2:$B$16,2,FALSE))</x:f>
        <x:v>45</x:v>
      </x:c>
    </x:row>
    <x:row r="3">
      <x:c r="A3" t="n">
        <x:v>2</x:v>
      </x:c>
      <x:c r="B3" t="n">
        <x:v>17</x:v>
      </x:c>
      <x:c r="C3" t="inlineStr">
        <x:is>
          <x:t xml:space="preserve">SrAl2O4</x:t>
        </x:is>
      </x:c>
      <x:c r="D3" t="n">
        <x:v>0</x:v>
      </x:c>
      <x:c r="E3" t="n">
        <x:v>111</x:v>
      </x:c>
      <x:c r="F3" t="inlineStr">
        <x:is>
          <x:t xml:space="preserve">Ba2MgSi2O7</x:t>
        </x:is>
      </x:c>
      <x:c r="G3" t="n">
        <x:v>0</x:v>
      </x:c>
      <x:c r="H3" t="b">
        <x:v>1</x:v>
      </x:c>
      <x:c r="I3" t="n">
        <x:v>1.181756377155895</x:v>
      </x:c>
      <x:c r="J3" t="n">
        <x:v>0.3843147033080078</x:v>
      </x:c>
      <x:c r="K3" s="12" t="n">
        <x:f>ABS(VLOOKUP(C3,Benchmark_Properties!$A$2:$B$16,2,FALSE)-VLOOKUP(F3,Benchmark_Properties!$A$2:$B$16,2,FALSE))</x:f>
        <x:v>2</x:v>
      </x:c>
    </x:row>
    <x:row r="4">
      <x:c r="A4" t="n">
        <x:v>3</x:v>
      </x:c>
      <x:c r="B4" t="n">
        <x:v>111</x:v>
      </x:c>
      <x:c r="C4" t="inlineStr">
        <x:is>
          <x:t xml:space="preserve">Ba2MgSi2O7</x:t>
        </x:is>
      </x:c>
      <x:c r="D4" t="n">
        <x:v>0</x:v>
      </x:c>
      <x:c r="E4" t="n">
        <x:v>180</x:v>
      </x:c>
      <x:c r="F4" t="inlineStr">
        <x:is>
          <x:t xml:space="preserve">Ba6Y2Al4O15</x:t>
        </x:is>
      </x:c>
      <x:c r="G4" t="n">
        <x:v>0</x:v>
      </x:c>
      <x:c r="H4" t="b">
        <x:v>1</x:v>
      </x:c>
      <x:c r="I4" t="n">
        <x:v>1.307970617681786</x:v>
      </x:c>
      <x:c r="J4" t="n">
        <x:v>0.4253603784899702</x:v>
      </x:c>
      <x:c r="K4" s="12" t="n">
        <x:f>ABS(VLOOKUP(C4,Benchmark_Properties!$A$2:$B$16,2,FALSE)-VLOOKUP(F4,Benchmark_Properties!$A$2:$B$16,2,FALSE))</x:f>
        <x:v>6</x:v>
      </x:c>
    </x:row>
    <x:row r="5">
      <x:c r="A5" t="n">
        <x:v>4</x:v>
      </x:c>
      <x:c r="B5" t="n">
        <x:v>111</x:v>
      </x:c>
      <x:c r="C5" t="inlineStr">
        <x:is>
          <x:t xml:space="preserve">Ba2MgSi2O7</x:t>
        </x:is>
      </x:c>
      <x:c r="D5" t="n">
        <x:v>0</x:v>
      </x:c>
      <x:c r="E5" t="n">
        <x:v>142</x:v>
      </x:c>
      <x:c r="F5" t="inlineStr">
        <x:is>
          <x:t xml:space="preserve">Ba2Ca(BO3)2</x:t>
        </x:is>
      </x:c>
      <x:c r="G5" t="n">
        <x:v>0</x:v>
      </x:c>
      <x:c r="H5" t="b">
        <x:v>1</x:v>
      </x:c>
      <x:c r="I5" t="n">
        <x:v>1.324080238617545</x:v>
      </x:c>
      <x:c r="J5" t="n">
        <x:v>0.4305993298593129</x:v>
      </x:c>
      <x:c r="K5" s="12" t="n">
        <x:f>ABS(VLOOKUP(C5,Benchmark_Properties!$A$2:$B$16,2,FALSE)-VLOOKUP(F5,Benchmark_Properties!$A$2:$B$16,2,FALSE))</x:f>
        <x:v>0</x:v>
      </x:c>
    </x:row>
    <x:row r="6">
      <x:c r="A6" t="n">
        <x:v>5</x:v>
      </x:c>
      <x:c r="B6" t="n">
        <x:v>111</x:v>
      </x:c>
      <x:c r="C6" t="inlineStr">
        <x:is>
          <x:t xml:space="preserve">Ba2MgSi2O7</x:t>
        </x:is>
      </x:c>
      <x:c r="D6" t="n">
        <x:v>0</x:v>
      </x:c>
      <x:c r="E6" t="n">
        <x:v>153</x:v>
      </x:c>
      <x:c r="F6" t="inlineStr">
        <x:is>
          <x:t xml:space="preserve">Ba3Si6(NO6)2</x:t>
        </x:is>
      </x:c>
      <x:c r="G6" t="n">
        <x:v>0</x:v>
      </x:c>
      <x:c r="H6" t="b">
        <x:v>1</x:v>
      </x:c>
      <x:c r="I6" t="n">
        <x:v>1.437360804981574</x:v>
      </x:c>
      <x:c r="J6" t="n">
        <x:v>0.4674388917980694</x:v>
      </x:c>
      <x:c r="K6" s="12" t="n">
        <x:f>ABS(VLOOKUP(C6,Benchmark_Properties!$A$2:$B$16,2,FALSE)-VLOOKUP(F6,Benchmark_Properties!$A$2:$B$16,2,FALSE))</x:f>
        <x:v>7</x:v>
      </x:c>
    </x:row>
    <x:row r="7">
      <x:c r="A7" t="n">
        <x:v>6</x:v>
      </x:c>
      <x:c r="B7" t="n">
        <x:v>142</x:v>
      </x:c>
      <x:c r="C7" t="inlineStr">
        <x:is>
          <x:t xml:space="preserve">Ba2Ca(BO3)2</x:t>
        </x:is>
      </x:c>
      <x:c r="D7" t="n">
        <x:v>0</x:v>
      </x:c>
      <x:c r="E7" t="n">
        <x:v>180</x:v>
      </x:c>
      <x:c r="F7" t="inlineStr">
        <x:is>
          <x:t xml:space="preserve">Ba6Y2Al4O15</x:t>
        </x:is>
      </x:c>
      <x:c r="G7" t="n">
        <x:v>0</x:v>
      </x:c>
      <x:c r="H7" t="b">
        <x:v>1</x:v>
      </x:c>
      <x:c r="I7" t="n">
        <x:v>1.442479899025542</x:v>
      </x:c>
      <x:c r="J7" t="n">
        <x:v>0.4691036537970255</x:v>
      </x:c>
      <x:c r="K7" s="12" t="n">
        <x:f>ABS(VLOOKUP(C7,Benchmark_Properties!$A$2:$B$16,2,FALSE)-VLOOKUP(F7,Benchmark_Properties!$A$2:$B$16,2,FALSE))</x:f>
        <x:v>6</x:v>
      </x:c>
    </x:row>
    <x:row r="8">
      <x:c r="A8" t="n">
        <x:v>7</x:v>
      </x:c>
      <x:c r="B8" t="n">
        <x:v>17</x:v>
      </x:c>
      <x:c r="C8" t="inlineStr">
        <x:is>
          <x:t xml:space="preserve">SrAl2O4</x:t>
        </x:is>
      </x:c>
      <x:c r="D8" t="n">
        <x:v>0</x:v>
      </x:c>
      <x:c r="E8" t="n">
        <x:v>180</x:v>
      </x:c>
      <x:c r="F8" t="inlineStr">
        <x:is>
          <x:t xml:space="preserve">Ba6Y2Al4O15</x:t>
        </x:is>
      </x:c>
      <x:c r="G8" t="n">
        <x:v>0</x:v>
      </x:c>
      <x:c r="H8" t="b">
        <x:v>1</x:v>
      </x:c>
      <x:c r="I8" t="n">
        <x:v>1.470034073966157</x:v>
      </x:c>
      <x:c r="J8" t="n">
        <x:v>0.478064447046718</x:v>
      </x:c>
      <x:c r="K8" s="12" t="n">
        <x:f>ABS(VLOOKUP(C8,Benchmark_Properties!$A$2:$B$16,2,FALSE)-VLOOKUP(F8,Benchmark_Properties!$A$2:$B$16,2,FALSE))</x:f>
        <x:v>8</x:v>
      </x:c>
    </x:row>
    <x:row r="9">
      <x:c r="A9" t="n">
        <x:v>8</x:v>
      </x:c>
      <x:c r="B9" t="n">
        <x:v>17</x:v>
      </x:c>
      <x:c r="C9" t="inlineStr">
        <x:is>
          <x:t xml:space="preserve">SrAl2O4</x:t>
        </x:is>
      </x:c>
      <x:c r="D9" t="n">
        <x:v>0</x:v>
      </x:c>
      <x:c r="E9" t="n">
        <x:v>144</x:v>
      </x:c>
      <x:c r="F9" t="inlineStr">
        <x:is>
          <x:t xml:space="preserve">Ba2Mg(PO4)2</x:t>
        </x:is>
      </x:c>
      <x:c r="G9" t="n">
        <x:v>0</x:v>
      </x:c>
      <x:c r="H9" t="b">
        <x:v>1</x:v>
      </x:c>
      <x:c r="I9" t="n">
        <x:v>1.543253598661221</x:v>
      </x:c>
      <x:c r="J9" t="n">
        <x:v>0.5018759029893203</x:v>
      </x:c>
      <x:c r="K9" s="12" t="n">
        <x:f>ABS(VLOOKUP(C9,Benchmark_Properties!$A$2:$B$16,2,FALSE)-VLOOKUP(F9,Benchmark_Properties!$A$2:$B$16,2,FALSE))</x:f>
        <x:v>43</x:v>
      </x:c>
    </x:row>
    <x:row r="10">
      <x:c r="A10" t="n">
        <x:v>9</x:v>
      </x:c>
      <x:c r="B10" t="n">
        <x:v>17</x:v>
      </x:c>
      <x:c r="C10" t="inlineStr">
        <x:is>
          <x:t xml:space="preserve">SrAl2O4</x:t>
        </x:is>
      </x:c>
      <x:c r="D10" t="n">
        <x:v>0</x:v>
      </x:c>
      <x:c r="E10" t="n">
        <x:v>153</x:v>
      </x:c>
      <x:c r="F10" t="inlineStr">
        <x:is>
          <x:t xml:space="preserve">Ba3Si6(NO6)2</x:t>
        </x:is>
      </x:c>
      <x:c r="G10" t="n">
        <x:v>0</x:v>
      </x:c>
      <x:c r="H10" t="b">
        <x:v>1</x:v>
      </x:c>
      <x:c r="I10" t="n">
        <x:v>1.575497471352046</x:v>
      </x:c>
      <x:c r="J10" t="n">
        <x:v>0.5123618158273781</x:v>
      </x:c>
      <x:c r="K10" s="12" t="n">
        <x:f>ABS(VLOOKUP(C10,Benchmark_Properties!$A$2:$B$16,2,FALSE)-VLOOKUP(F10,Benchmark_Properties!$A$2:$B$16,2,FALSE))</x:f>
        <x:v>9</x:v>
      </x:c>
    </x:row>
    <x:row r="11">
      <x:c r="A11" t="n">
        <x:v>10</x:v>
      </x:c>
      <x:c r="B11" t="n">
        <x:v>144</x:v>
      </x:c>
      <x:c r="C11" t="inlineStr">
        <x:is>
          <x:t xml:space="preserve">Ba2Mg(PO4)2</x:t>
        </x:is>
      </x:c>
      <x:c r="D11" t="n">
        <x:v>0</x:v>
      </x:c>
      <x:c r="E11" t="n">
        <x:v>153</x:v>
      </x:c>
      <x:c r="F11" t="inlineStr">
        <x:is>
          <x:t xml:space="preserve">Ba3Si6(NO6)2</x:t>
        </x:is>
      </x:c>
      <x:c r="G11" t="n">
        <x:v>0</x:v>
      </x:c>
      <x:c r="H11" t="b">
        <x:v>1</x:v>
      </x:c>
      <x:c r="I11" t="n">
        <x:v>1.583206648218334</x:v>
      </x:c>
      <x:c r="J11" t="n">
        <x:v>0.5148688892626379</x:v>
      </x:c>
      <x:c r="K11" s="12" t="n">
        <x:f>ABS(VLOOKUP(C11,Benchmark_Properties!$A$2:$B$16,2,FALSE)-VLOOKUP(F11,Benchmark_Properties!$A$2:$B$16,2,FALSE))</x:f>
        <x:v>52</x:v>
      </x:c>
    </x:row>
    <x:row r="12">
      <x:c r="A12" t="n">
        <x:v>11</x:v>
      </x:c>
      <x:c r="B12" t="n">
        <x:v>17</x:v>
      </x:c>
      <x:c r="C12" t="inlineStr">
        <x:is>
          <x:t xml:space="preserve">SrAl2O4</x:t>
        </x:is>
      </x:c>
      <x:c r="D12" t="n">
        <x:v>0</x:v>
      </x:c>
      <x:c r="E12" t="n">
        <x:v>142</x:v>
      </x:c>
      <x:c r="F12" t="inlineStr">
        <x:is>
          <x:t xml:space="preserve">Ba2Ca(BO3)2</x:t>
        </x:is>
      </x:c>
      <x:c r="G12" t="n">
        <x:v>0</x:v>
      </x:c>
      <x:c r="H12" t="b">
        <x:v>1</x:v>
      </x:c>
      <x:c r="I12" t="n">
        <x:v>1.609499118718329</x:v>
      </x:c>
      <x:c r="J12" t="n">
        <x:v>0.5234193681894014</x:v>
      </x:c>
      <x:c r="K12" s="12" t="n">
        <x:f>ABS(VLOOKUP(C12,Benchmark_Properties!$A$2:$B$16,2,FALSE)-VLOOKUP(F12,Benchmark_Properties!$A$2:$B$16,2,FALSE))</x:f>
        <x:v>2</x:v>
      </x:c>
    </x:row>
    <x:row r="13">
      <x:c r="A13" t="n">
        <x:v>12</x:v>
      </x:c>
      <x:c r="B13" t="n">
        <x:v>16</x:v>
      </x:c>
      <x:c r="C13" t="inlineStr">
        <x:is>
          <x:t xml:space="preserve">Sr2LiSiO4F</x:t>
        </x:is>
      </x:c>
      <x:c r="D13" t="n">
        <x:v>1</x:v>
      </x:c>
      <x:c r="E13" t="n">
        <x:v>261</x:v>
      </x:c>
      <x:c r="F13" t="inlineStr">
        <x:is>
          <x:t xml:space="preserve">NaCaPO4</x:t>
        </x:is>
      </x:c>
      <x:c r="G13" t="n">
        <x:v>1</x:v>
      </x:c>
      <x:c r="H13" t="b">
        <x:v>1</x:v>
      </x:c>
      <x:c r="I13" t="n">
        <x:v>1.617413499795998</x:v>
      </x:c>
      <x:c r="J13" t="n">
        <x:v>0.5259931753416429</x:v>
      </x:c>
      <x:c r="K13" s="12" t="n">
        <x:f>ABS(VLOOKUP(C13,Benchmark_Properties!$A$2:$B$16,2,FALSE)-VLOOKUP(F13,Benchmark_Properties!$A$2:$B$16,2,FALSE))</x:f>
        <x:v>35</x:v>
      </x:c>
    </x:row>
    <x:row r="14">
      <x:c r="A14" t="n">
        <x:v>13</x:v>
      </x:c>
      <x:c r="B14" t="n">
        <x:v>95</x:v>
      </x:c>
      <x:c r="C14" t="inlineStr">
        <x:is>
          <x:t xml:space="preserve">Na3YSi2O7</x:t>
        </x:is>
      </x:c>
      <x:c r="D14" t="n">
        <x:v>1</x:v>
      </x:c>
      <x:c r="E14" t="n">
        <x:v>171</x:v>
      </x:c>
      <x:c r="F14" t="inlineStr">
        <x:is>
          <x:t xml:space="preserve">BaLi2SiO4</x:t>
        </x:is>
      </x:c>
      <x:c r="G14" t="n">
        <x:v>1</x:v>
      </x:c>
      <x:c r="H14" t="b">
        <x:v>1</x:v>
      </x:c>
      <x:c r="I14" t="n">
        <x:v>1.645133935889765</x:v>
      </x:c>
      <x:c r="J14" t="n">
        <x:v>0.5350080377776585</x:v>
      </x:c>
      <x:c r="K14" s="12" t="n">
        <x:f>ABS(VLOOKUP(C14,Benchmark_Properties!$A$2:$B$16,2,FALSE)-VLOOKUP(F14,Benchmark_Properties!$A$2:$B$16,2,FALSE))</x:f>
        <x:v>44</x:v>
      </x:c>
    </x:row>
    <x:row r="15">
      <x:c r="A15" t="n">
        <x:v>14</x:v>
      </x:c>
      <x:c r="B15" t="n">
        <x:v>142</x:v>
      </x:c>
      <x:c r="C15" t="inlineStr">
        <x:is>
          <x:t xml:space="preserve">Ba2Ca(BO3)2</x:t>
        </x:is>
      </x:c>
      <x:c r="D15" t="n">
        <x:v>0</x:v>
      </x:c>
      <x:c r="E15" t="n">
        <x:v>144</x:v>
      </x:c>
      <x:c r="F15" t="inlineStr">
        <x:is>
          <x:t xml:space="preserve">Ba2Mg(PO4)2</x:t>
        </x:is>
      </x:c>
      <x:c r="G15" t="n">
        <x:v>0</x:v>
      </x:c>
      <x:c r="H15" t="b">
        <x:v>1</x:v>
      </x:c>
      <x:c r="I15" t="n">
        <x:v>1.655488275448446</x:v>
      </x:c>
      <x:c r="J15" t="n">
        <x:v>0.5383753349739063</x:v>
      </x:c>
      <x:c r="K15" s="12" t="n">
        <x:f>ABS(VLOOKUP(C15,Benchmark_Properties!$A$2:$B$16,2,FALSE)-VLOOKUP(F15,Benchmark_Properties!$A$2:$B$16,2,FALSE))</x:f>
        <x:v>45</x:v>
      </x:c>
    </x:row>
    <x:row r="16">
      <x:c r="A16" t="n">
        <x:v>15</x:v>
      </x:c>
      <x:c r="B16" t="n">
        <x:v>15</x:v>
      </x:c>
      <x:c r="C16" t="inlineStr">
        <x:is>
          <x:t xml:space="preserve">Rb2ZrSi2O7</x:t>
        </x:is>
      </x:c>
      <x:c r="D16" t="n">
        <x:v>1</x:v>
      </x:c>
      <x:c r="E16" t="n">
        <x:v>261</x:v>
      </x:c>
      <x:c r="F16" t="inlineStr">
        <x:is>
          <x:t xml:space="preserve">NaCaPO4</x:t>
        </x:is>
      </x:c>
      <x:c r="G16" t="n">
        <x:v>1</x:v>
      </x:c>
      <x:c r="H16" t="b">
        <x:v>1</x:v>
      </x:c>
      <x:c r="I16" t="n">
        <x:v>1.668458410039074</x:v>
      </x:c>
      <x:c r="J16" t="n">
        <x:v>0.5425933053808513</x:v>
      </x:c>
      <x:c r="K16" s="12" t="n">
        <x:f>ABS(VLOOKUP(C16,Benchmark_Properties!$A$2:$B$16,2,FALSE)-VLOOKUP(F16,Benchmark_Properties!$A$2:$B$16,2,FALSE))</x:f>
        <x:v>26</x:v>
      </x:c>
    </x:row>
    <x:row r="17">
      <x:c r="A17" t="n">
        <x:v>16</x:v>
      </x:c>
      <x:c r="B17" t="n">
        <x:v>171</x:v>
      </x:c>
      <x:c r="C17" t="inlineStr">
        <x:is>
          <x:t xml:space="preserve">BaLi2SiO4</x:t>
        </x:is>
      </x:c>
      <x:c r="D17" t="n">
        <x:v>1</x:v>
      </x:c>
      <x:c r="E17" t="n">
        <x:v>283</x:v>
      </x:c>
      <x:c r="F17" t="inlineStr">
        <x:is>
          <x:t xml:space="preserve">RbLi7(SiO4)2</x:t>
        </x:is>
      </x:c>
      <x:c r="G17" t="n">
        <x:v>1</x:v>
      </x:c>
      <x:c r="H17" t="b">
        <x:v>1</x:v>
      </x:c>
      <x:c r="I17" t="n">
        <x:v>1.708690373098635</x:v>
      </x:c>
      <x:c r="J17" t="n">
        <x:v>0.555676996102238</x:v>
      </x:c>
      <x:c r="K17" s="12" t="n">
        <x:f>ABS(VLOOKUP(C17,Benchmark_Properties!$A$2:$B$16,2,FALSE)-VLOOKUP(F17,Benchmark_Properties!$A$2:$B$16,2,FALSE))</x:f>
        <x:v>19</x:v>
      </x:c>
    </x:row>
    <x:row r="18">
      <x:c r="A18" t="n">
        <x:v>17</x:v>
      </x:c>
      <x:c r="B18" t="n">
        <x:v>15</x:v>
      </x:c>
      <x:c r="C18" t="inlineStr">
        <x:is>
          <x:t xml:space="preserve">Rb2ZrSi2O7</x:t>
        </x:is>
      </x:c>
      <x:c r="D18" t="n">
        <x:v>1</x:v>
      </x:c>
      <x:c r="E18" t="n">
        <x:v>199</x:v>
      </x:c>
      <x:c r="F18" t="inlineStr">
        <x:is>
          <x:t xml:space="preserve">Cs2BaP2O7</x:t>
        </x:is>
      </x:c>
      <x:c r="G18" t="n">
        <x:v>3</x:v>
      </x:c>
      <x:c r="H18" t="b">
        <x:v>0</x:v>
      </x:c>
      <x:c r="I18" t="n">
        <x:v>1.732234637050183</x:v>
      </x:c>
      <x:c r="J18" t="n">
        <x:v>0.5633337407494902</x:v>
      </x:c>
      <x:c r="K18" s="12" t="n">
        <x:f>ABS(VLOOKUP(C18,Benchmark_Properties!$A$2:$B$16,2,FALSE)-VLOOKUP(F18,Benchmark_Properties!$A$2:$B$16,2,FALSE))</x:f>
        <x:v>9</x:v>
      </x:c>
    </x:row>
    <x:row r="19">
      <x:c r="A19" t="n">
        <x:v>18</x:v>
      </x:c>
      <x:c r="B19" t="n">
        <x:v>16</x:v>
      </x:c>
      <x:c r="C19" t="inlineStr">
        <x:is>
          <x:t xml:space="preserve">Sr2LiSiO4F</x:t>
        </x:is>
      </x:c>
      <x:c r="D19" t="n">
        <x:v>1</x:v>
      </x:c>
      <x:c r="E19" t="n">
        <x:v>171</x:v>
      </x:c>
      <x:c r="F19" t="inlineStr">
        <x:is>
          <x:t xml:space="preserve">BaLi2SiO4</x:t>
        </x:is>
      </x:c>
      <x:c r="G19" t="n">
        <x:v>1</x:v>
      </x:c>
      <x:c r="H19" t="b">
        <x:v>1</x:v>
      </x:c>
      <x:c r="I19" t="n">
        <x:v>1.737758403785605</x:v>
      </x:c>
      <x:c r="J19" t="n">
        <x:v>0.5651301048860436</x:v>
      </x:c>
      <x:c r="K19" s="12" t="n">
        <x:f>ABS(VLOOKUP(C19,Benchmark_Properties!$A$2:$B$16,2,FALSE)-VLOOKUP(F19,Benchmark_Properties!$A$2:$B$16,2,FALSE))</x:f>
        <x:v>39</x:v>
      </x:c>
    </x:row>
    <x:row r="20">
      <x:c r="A20" t="n">
        <x:v>19</x:v>
      </x:c>
      <x:c r="B20" t="n">
        <x:v>153</x:v>
      </x:c>
      <x:c r="C20" t="inlineStr">
        <x:is>
          <x:t xml:space="preserve">Ba3Si6(NO6)2</x:t>
        </x:is>
      </x:c>
      <x:c r="D20" t="n">
        <x:v>0</x:v>
      </x:c>
      <x:c r="E20" t="n">
        <x:v>180</x:v>
      </x:c>
      <x:c r="F20" t="inlineStr">
        <x:is>
          <x:t xml:space="preserve">Ba6Y2Al4O15</x:t>
        </x:is>
      </x:c>
      <x:c r="G20" t="n">
        <x:v>0</x:v>
      </x:c>
      <x:c r="H20" t="b">
        <x:v>1</x:v>
      </x:c>
      <x:c r="I20" t="n">
        <x:v>1.741278470598231</x:v>
      </x:c>
      <x:c r="J20" t="n">
        <x:v>0.5662748530413061</x:v>
      </x:c>
      <x:c r="K20" s="12" t="n">
        <x:f>ABS(VLOOKUP(C20,Benchmark_Properties!$A$2:$B$16,2,FALSE)-VLOOKUP(F20,Benchmark_Properties!$A$2:$B$16,2,FALSE))</x:f>
        <x:v>1</x:v>
      </x:c>
    </x:row>
    <x:row r="21">
      <x:c r="A21" t="n">
        <x:v>20</x:v>
      </x:c>
      <x:c r="B21" t="n">
        <x:v>142</x:v>
      </x:c>
      <x:c r="C21" t="inlineStr">
        <x:is>
          <x:t xml:space="preserve">Ba2Ca(BO3)2</x:t>
        </x:is>
      </x:c>
      <x:c r="D21" t="n">
        <x:v>0</x:v>
      </x:c>
      <x:c r="E21" t="n">
        <x:v>153</x:v>
      </x:c>
      <x:c r="F21" t="inlineStr">
        <x:is>
          <x:t xml:space="preserve">Ba3Si6(NO6)2</x:t>
        </x:is>
      </x:c>
      <x:c r="G21" t="n">
        <x:v>0</x:v>
      </x:c>
      <x:c r="H21" t="b">
        <x:v>1</x:v>
      </x:c>
      <x:c r="I21" t="n">
        <x:v>1.744753069679137</x:v>
      </x:c>
      <x:c r="J21" t="n">
        <x:v>0.5674048148005193</x:v>
      </x:c>
      <x:c r="K21" s="12" t="n">
        <x:f>ABS(VLOOKUP(C21,Benchmark_Properties!$A$2:$B$16,2,FALSE)-VLOOKUP(F21,Benchmark_Properties!$A$2:$B$16,2,FALSE))</x:f>
        <x:v>7</x:v>
      </x:c>
    </x:row>
    <x:row r="22">
      <x:c r="A22" t="n">
        <x:v>21</x:v>
      </x:c>
      <x:c r="B22" t="n">
        <x:v>144</x:v>
      </x:c>
      <x:c r="C22" t="inlineStr">
        <x:is>
          <x:t xml:space="preserve">Ba2Mg(PO4)2</x:t>
        </x:is>
      </x:c>
      <x:c r="D22" t="n">
        <x:v>0</x:v>
      </x:c>
      <x:c r="E22" t="n">
        <x:v>180</x:v>
      </x:c>
      <x:c r="F22" t="inlineStr">
        <x:is>
          <x:t xml:space="preserve">Ba6Y2Al4O15</x:t>
        </x:is>
      </x:c>
      <x:c r="G22" t="n">
        <x:v>0</x:v>
      </x:c>
      <x:c r="H22" t="b">
        <x:v>1</x:v>
      </x:c>
      <x:c r="I22" t="n">
        <x:v>1.746209274820043</x:v>
      </x:c>
      <x:c r="J22" t="n">
        <x:v>0.567878381990425</x:v>
      </x:c>
      <x:c r="K22" s="12" t="n">
        <x:f>ABS(VLOOKUP(C22,Benchmark_Properties!$A$2:$B$16,2,FALSE)-VLOOKUP(F22,Benchmark_Properties!$A$2:$B$16,2,FALSE))</x:f>
        <x:v>51</x:v>
      </x:c>
    </x:row>
    <x:row r="23">
      <x:c r="A23" t="n">
        <x:v>22</x:v>
      </x:c>
      <x:c r="B23" t="n">
        <x:v>15</x:v>
      </x:c>
      <x:c r="C23" t="inlineStr">
        <x:is>
          <x:t xml:space="preserve">Rb2ZrSi2O7</x:t>
        </x:is>
      </x:c>
      <x:c r="D23" t="n">
        <x:v>1</x:v>
      </x:c>
      <x:c r="E23" t="n">
        <x:v>16</x:v>
      </x:c>
      <x:c r="F23" t="inlineStr">
        <x:is>
          <x:t xml:space="preserve">Sr2LiSiO4F</x:t>
        </x:is>
      </x:c>
      <x:c r="G23" t="n">
        <x:v>1</x:v>
      </x:c>
      <x:c r="H23" t="b">
        <x:v>1</x:v>
      </x:c>
      <x:c r="I23" t="n">
        <x:v>1.758815110567262</x:v>
      </x:c>
      <x:c r="J23" t="n">
        <x:v>0.5719778800923953</x:v>
      </x:c>
      <x:c r="K23" s="12" t="n">
        <x:f>ABS(VLOOKUP(C23,Benchmark_Properties!$A$2:$B$16,2,FALSE)-VLOOKUP(F23,Benchmark_Properties!$A$2:$B$16,2,FALSE))</x:f>
        <x:v>9</x:v>
      </x:c>
    </x:row>
    <x:row r="24">
      <x:c r="A24" t="n">
        <x:v>23</x:v>
      </x:c>
      <x:c r="B24" t="n">
        <x:v>14</x:v>
      </x:c>
      <x:c r="C24" t="inlineStr">
        <x:is>
          <x:t xml:space="preserve">K2RbNaLi12(SiO4)4</x:t>
        </x:is>
      </x:c>
      <x:c r="D24" t="n">
        <x:v>1</x:v>
      </x:c>
      <x:c r="E24" t="n">
        <x:v>171</x:v>
      </x:c>
      <x:c r="F24" t="inlineStr">
        <x:is>
          <x:t xml:space="preserve">BaLi2SiO4</x:t>
        </x:is>
      </x:c>
      <x:c r="G24" t="n">
        <x:v>1</x:v>
      </x:c>
      <x:c r="H24" t="b">
        <x:v>1</x:v>
      </x:c>
      <x:c r="I24" t="n">
        <x:v>1.773255743273699</x:v>
      </x:c>
      <x:c r="J24" t="n">
        <x:v>0.576674065855751</x:v>
      </x:c>
      <x:c r="K24" s="12" t="n">
        <x:f>ABS(VLOOKUP(C24,Benchmark_Properties!$A$2:$B$16,2,FALSE)-VLOOKUP(F24,Benchmark_Properties!$A$2:$B$16,2,FALSE))</x:f>
        <x:v>10</x:v>
      </x:c>
    </x:row>
    <x:row r="25">
      <x:c r="A25" t="n">
        <x:v>24</x:v>
      </x:c>
      <x:c r="B25" t="n">
        <x:v>95</x:v>
      </x:c>
      <x:c r="C25" t="inlineStr">
        <x:is>
          <x:t xml:space="preserve">Na3YSi2O7</x:t>
        </x:is>
      </x:c>
      <x:c r="D25" t="n">
        <x:v>1</x:v>
      </x:c>
      <x:c r="E25" t="n">
        <x:v>261</x:v>
      </x:c>
      <x:c r="F25" t="inlineStr">
        <x:is>
          <x:t xml:space="preserve">NaCaPO4</x:t>
        </x:is>
      </x:c>
      <x:c r="G25" t="n">
        <x:v>1</x:v>
      </x:c>
      <x:c r="H25" t="b">
        <x:v>1</x:v>
      </x:c>
      <x:c r="I25" t="n">
        <x:v>1.775065134530053</x:v>
      </x:c>
      <x:c r="J25" t="n">
        <x:v>0.5772624914206947</x:v>
      </x:c>
      <x:c r="K25" s="12" t="n">
        <x:f>ABS(VLOOKUP(C25,Benchmark_Properties!$A$2:$B$16,2,FALSE)-VLOOKUP(F25,Benchmark_Properties!$A$2:$B$16,2,FALSE))</x:f>
        <x:v>40</x:v>
      </x:c>
    </x:row>
    <x:row r="26">
      <x:c r="A26" t="n">
        <x:v>25</x:v>
      </x:c>
      <x:c r="B26" t="n">
        <x:v>199</x:v>
      </x:c>
      <x:c r="C26" t="inlineStr">
        <x:is>
          <x:t xml:space="preserve">Cs2BaP2O7</x:t>
        </x:is>
      </x:c>
      <x:c r="D26" t="n">
        <x:v>3</x:v>
      </x:c>
      <x:c r="E26" t="n">
        <x:v>261</x:v>
      </x:c>
      <x:c r="F26" t="inlineStr">
        <x:is>
          <x:t xml:space="preserve">NaCaPO4</x:t>
        </x:is>
      </x:c>
      <x:c r="G26" t="n">
        <x:v>1</x:v>
      </x:c>
      <x:c r="H26" t="b">
        <x:v>0</x:v>
      </x:c>
      <x:c r="I26" t="n">
        <x:v>1.796756808732455</x:v>
      </x:c>
      <x:c r="J26" t="n">
        <x:v>0.5843167620779118</x:v>
      </x:c>
      <x:c r="K26" s="12" t="n">
        <x:f>ABS(VLOOKUP(C26,Benchmark_Properties!$A$2:$B$16,2,FALSE)-VLOOKUP(F26,Benchmark_Properties!$A$2:$B$16,2,FALSE))</x:f>
        <x:v>35</x:v>
      </x:c>
    </x:row>
    <x:row r="27">
      <x:c r="A27" t="n">
        <x:v>26</x:v>
      </x:c>
      <x:c r="B27" t="n">
        <x:v>144</x:v>
      </x:c>
      <x:c r="C27" t="inlineStr">
        <x:is>
          <x:t xml:space="preserve">Ba2Mg(PO4)2</x:t>
        </x:is>
      </x:c>
      <x:c r="D27" t="n">
        <x:v>0</x:v>
      </x:c>
      <x:c r="E27" t="n">
        <x:v>199</x:v>
      </x:c>
      <x:c r="F27" t="inlineStr">
        <x:is>
          <x:t xml:space="preserve">Cs2BaP2O7</x:t>
        </x:is>
      </x:c>
      <x:c r="G27" t="n">
        <x:v>3</x:v>
      </x:c>
      <x:c r="H27" t="b">
        <x:v>0</x:v>
      </x:c>
      <x:c r="I27" t="n">
        <x:v>1.813554797733422</x:v>
      </x:c>
      <x:c r="J27" t="n">
        <x:v>0.5897795751279372</x:v>
      </x:c>
      <x:c r="K27" s="12" t="n">
        <x:f>ABS(VLOOKUP(C27,Benchmark_Properties!$A$2:$B$16,2,FALSE)-VLOOKUP(F27,Benchmark_Properties!$A$2:$B$16,2,FALSE))</x:f>
        <x:v>20</x:v>
      </x:c>
    </x:row>
    <x:row r="28">
      <x:c r="A28" t="n">
        <x:v>27</x:v>
      </x:c>
      <x:c r="B28" t="n">
        <x:v>15</x:v>
      </x:c>
      <x:c r="C28" t="inlineStr">
        <x:is>
          <x:t xml:space="preserve">Rb2ZrSi2O7</x:t>
        </x:is>
      </x:c>
      <x:c r="D28" t="n">
        <x:v>1</x:v>
      </x:c>
      <x:c r="E28" t="n">
        <x:v>17</x:v>
      </x:c>
      <x:c r="F28" t="inlineStr">
        <x:is>
          <x:t xml:space="preserve">SrAl2O4</x:t>
        </x:is>
      </x:c>
      <x:c r="G28" t="n">
        <x:v>0</x:v>
      </x:c>
      <x:c r="H28" t="b">
        <x:v>0</x:v>
      </x:c>
      <x:c r="I28" t="n">
        <x:v>1.873501269718631</x:v>
      </x:c>
      <x:c r="J28" t="n">
        <x:v>0.6092745497612058</x:v>
      </x:c>
      <x:c r="K28" s="12" t="n">
        <x:f>ABS(VLOOKUP(C28,Benchmark_Properties!$A$2:$B$16,2,FALSE)-VLOOKUP(F28,Benchmark_Properties!$A$2:$B$16,2,FALSE))</x:f>
        <x:v>14</x:v>
      </x:c>
    </x:row>
    <x:row r="29">
      <x:c r="A29" t="n">
        <x:v>28</x:v>
      </x:c>
      <x:c r="B29" t="n">
        <x:v>15</x:v>
      </x:c>
      <x:c r="C29" t="inlineStr">
        <x:is>
          <x:t xml:space="preserve">Rb2ZrSi2O7</x:t>
        </x:is>
      </x:c>
      <x:c r="D29" t="n">
        <x:v>1</x:v>
      </x:c>
      <x:c r="E29" t="n">
        <x:v>111</x:v>
      </x:c>
      <x:c r="F29" t="inlineStr">
        <x:is>
          <x:t xml:space="preserve">Ba2MgSi2O7</x:t>
        </x:is>
      </x:c>
      <x:c r="G29" t="n">
        <x:v>0</x:v>
      </x:c>
      <x:c r="H29" t="b">
        <x:v>0</x:v>
      </x:c>
      <x:c r="I29" t="n">
        <x:v>1.884984661724531</x:v>
      </x:c>
      <x:c r="J29" t="n">
        <x:v>0.6130090220069475</x:v>
      </x:c>
      <x:c r="K29" s="12" t="n">
        <x:f>ABS(VLOOKUP(C29,Benchmark_Properties!$A$2:$B$16,2,FALSE)-VLOOKUP(F29,Benchmark_Properties!$A$2:$B$16,2,FALSE))</x:f>
        <x:v>16</x:v>
      </x:c>
    </x:row>
    <x:row r="30">
      <x:c r="A30" t="n">
        <x:v>29</x:v>
      </x:c>
      <x:c r="B30" t="n">
        <x:v>171</x:v>
      </x:c>
      <x:c r="C30" t="inlineStr">
        <x:is>
          <x:t xml:space="preserve">BaLi2SiO4</x:t>
        </x:is>
      </x:c>
      <x:c r="D30" t="n">
        <x:v>1</x:v>
      </x:c>
      <x:c r="E30" t="n">
        <x:v>261</x:v>
      </x:c>
      <x:c r="F30" t="inlineStr">
        <x:is>
          <x:t xml:space="preserve">NaCaPO4</x:t>
        </x:is>
      </x:c>
      <x:c r="G30" t="n">
        <x:v>1</x:v>
      </x:c>
      <x:c r="H30" t="b">
        <x:v>1</x:v>
      </x:c>
      <x:c r="I30" t="n">
        <x:v>1.904450238326911</x:v>
      </x:c>
      <x:c r="J30" t="n">
        <x:v>0.6193393515412521</x:v>
      </x:c>
      <x:c r="K30" s="12" t="n">
        <x:f>ABS(VLOOKUP(C30,Benchmark_Properties!$A$2:$B$16,2,FALSE)-VLOOKUP(F30,Benchmark_Properties!$A$2:$B$16,2,FALSE))</x:f>
        <x:v>4</x:v>
      </x:c>
    </x:row>
    <x:row r="31">
      <x:c r="A31" t="n">
        <x:v>30</x:v>
      </x:c>
      <x:c r="B31" t="n">
        <x:v>16</x:v>
      </x:c>
      <x:c r="C31" t="inlineStr">
        <x:is>
          <x:t xml:space="preserve">Sr2LiSiO4F</x:t>
        </x:is>
      </x:c>
      <x:c r="D31" t="n">
        <x:v>1</x:v>
      </x:c>
      <x:c r="E31" t="n">
        <x:v>199</x:v>
      </x:c>
      <x:c r="F31" t="inlineStr">
        <x:is>
          <x:t xml:space="preserve">Cs2BaP2O7</x:t>
        </x:is>
      </x:c>
      <x:c r="G31" t="n">
        <x:v>3</x:v>
      </x:c>
      <x:c r="H31" t="b">
        <x:v>0</x:v>
      </x:c>
      <x:c r="I31" t="n">
        <x:v>1.958798867495954</x:v>
      </x:c>
      <x:c r="J31" t="n">
        <x:v>0.6370138720245397</x:v>
      </x:c>
      <x:c r="K31" s="12" t="n">
        <x:f>ABS(VLOOKUP(C31,Benchmark_Properties!$A$2:$B$16,2,FALSE)-VLOOKUP(F31,Benchmark_Properties!$A$2:$B$16,2,FALSE))</x:f>
        <x:v>0</x:v>
      </x:c>
    </x:row>
    <x:row r="32">
      <x:c r="A32" t="n">
        <x:v>31</x:v>
      </x:c>
      <x:c r="B32" t="n">
        <x:v>15</x:v>
      </x:c>
      <x:c r="C32" t="inlineStr">
        <x:is>
          <x:t xml:space="preserve">Rb2ZrSi2O7</x:t>
        </x:is>
      </x:c>
      <x:c r="D32" t="n">
        <x:v>1</x:v>
      </x:c>
      <x:c r="E32" t="n">
        <x:v>180</x:v>
      </x:c>
      <x:c r="F32" t="inlineStr">
        <x:is>
          <x:t xml:space="preserve">Ba6Y2Al4O15</x:t>
        </x:is>
      </x:c>
      <x:c r="G32" t="n">
        <x:v>0</x:v>
      </x:c>
      <x:c r="H32" t="b">
        <x:v>0</x:v>
      </x:c>
      <x:c r="I32" t="n">
        <x:v>1.979083313402783</x:v>
      </x:c>
      <x:c r="J32" t="n">
        <x:v>0.6436105030740051</x:v>
      </x:c>
      <x:c r="K32" s="12" t="n">
        <x:f>ABS(VLOOKUP(C32,Benchmark_Properties!$A$2:$B$16,2,FALSE)-VLOOKUP(F32,Benchmark_Properties!$A$2:$B$16,2,FALSE))</x:f>
        <x:v>22</x:v>
      </x:c>
    </x:row>
    <x:row r="33">
      <x:c r="A33" t="n">
        <x:v>32</x:v>
      </x:c>
      <x:c r="B33" t="n">
        <x:v>15</x:v>
      </x:c>
      <x:c r="C33" t="inlineStr">
        <x:is>
          <x:t xml:space="preserve">Rb2ZrSi2O7</x:t>
        </x:is>
      </x:c>
      <x:c r="D33" t="n">
        <x:v>1</x:v>
      </x:c>
      <x:c r="E33" t="n">
        <x:v>171</x:v>
      </x:c>
      <x:c r="F33" t="inlineStr">
        <x:is>
          <x:t xml:space="preserve">BaLi2SiO4</x:t>
        </x:is>
      </x:c>
      <x:c r="G33" t="n">
        <x:v>1</x:v>
      </x:c>
      <x:c r="H33" t="b">
        <x:v>1</x:v>
      </x:c>
      <x:c r="I33" t="n">
        <x:v>1.980328397953113</x:v>
      </x:c>
      <x:c r="J33" t="n">
        <x:v>0.6440154125027195</x:v>
      </x:c>
      <x:c r="K33" s="12" t="n">
        <x:f>ABS(VLOOKUP(C33,Benchmark_Properties!$A$2:$B$16,2,FALSE)-VLOOKUP(F33,Benchmark_Properties!$A$2:$B$16,2,FALSE))</x:f>
        <x:v>30</x:v>
      </x:c>
    </x:row>
    <x:row r="34">
      <x:c r="A34" t="n">
        <x:v>33</x:v>
      </x:c>
      <x:c r="B34" t="n">
        <x:v>15</x:v>
      </x:c>
      <x:c r="C34" t="inlineStr">
        <x:is>
          <x:t xml:space="preserve">Rb2ZrSi2O7</x:t>
        </x:is>
      </x:c>
      <x:c r="D34" t="n">
        <x:v>1</x:v>
      </x:c>
      <x:c r="E34" t="n">
        <x:v>95</x:v>
      </x:c>
      <x:c r="F34" t="inlineStr">
        <x:is>
          <x:t xml:space="preserve">Na3YSi2O7</x:t>
        </x:is>
      </x:c>
      <x:c r="G34" t="n">
        <x:v>1</x:v>
      </x:c>
      <x:c r="H34" t="b">
        <x:v>1</x:v>
      </x:c>
      <x:c r="I34" t="n">
        <x:v>1.986674609411845</x:v>
      </x:c>
      <x:c r="J34" t="n">
        <x:v>0.6460792409034275</x:v>
      </x:c>
      <x:c r="K34" s="12" t="n">
        <x:f>ABS(VLOOKUP(C34,Benchmark_Properties!$A$2:$B$16,2,FALSE)-VLOOKUP(F34,Benchmark_Properties!$A$2:$B$16,2,FALSE))</x:f>
        <x:v>14</x:v>
      </x:c>
    </x:row>
    <x:row r="35">
      <x:c r="A35" t="n">
        <x:v>34</x:v>
      </x:c>
      <x:c r="B35" t="n">
        <x:v>14</x:v>
      </x:c>
      <x:c r="C35" t="inlineStr">
        <x:is>
          <x:t xml:space="preserve">K2RbNaLi12(SiO4)4</x:t>
        </x:is>
      </x:c>
      <x:c r="D35" t="n">
        <x:v>1</x:v>
      </x:c>
      <x:c r="E35" t="n">
        <x:v>283</x:v>
      </x:c>
      <x:c r="F35" t="inlineStr">
        <x:is>
          <x:t xml:space="preserve">RbLi7(SiO4)2</x:t>
        </x:is>
      </x:c>
      <x:c r="G35" t="n">
        <x:v>1</x:v>
      </x:c>
      <x:c r="H35" t="b">
        <x:v>1</x:v>
      </x:c>
      <x:c r="I35" t="n">
        <x:v>1.992470925738918</x:v>
      </x:c>
      <x:c r="J35" t="n">
        <x:v>0.6479642399037119</x:v>
      </x:c>
      <x:c r="K35" s="12" t="n">
        <x:f>ABS(VLOOKUP(C35,Benchmark_Properties!$A$2:$B$16,2,FALSE)-VLOOKUP(F35,Benchmark_Properties!$A$2:$B$16,2,FALSE))</x:f>
        <x:v>9</x:v>
      </x:c>
    </x:row>
    <x:row r="36">
      <x:c r="A36" t="n">
        <x:v>35</x:v>
      </x:c>
      <x:c r="B36" t="n">
        <x:v>144</x:v>
      </x:c>
      <x:c r="C36" t="inlineStr">
        <x:is>
          <x:t xml:space="preserve">Ba2Mg(PO4)2</x:t>
        </x:is>
      </x:c>
      <x:c r="D36" t="n">
        <x:v>0</x:v>
      </x:c>
      <x:c r="E36" t="n">
        <x:v>261</x:v>
      </x:c>
      <x:c r="F36" t="inlineStr">
        <x:is>
          <x:t xml:space="preserve">NaCaPO4</x:t>
        </x:is>
      </x:c>
      <x:c r="G36" t="n">
        <x:v>1</x:v>
      </x:c>
      <x:c r="H36" t="b">
        <x:v>0</x:v>
      </x:c>
      <x:c r="I36" t="n">
        <x:v>1.995915415250228</x:v>
      </x:c>
      <x:c r="J36" t="n">
        <x:v>0.6490844098390522</x:v>
      </x:c>
      <x:c r="K36" s="12" t="n">
        <x:f>ABS(VLOOKUP(C36,Benchmark_Properties!$A$2:$B$16,2,FALSE)-VLOOKUP(F36,Benchmark_Properties!$A$2:$B$16,2,FALSE))</x:f>
        <x:v>55</x:v>
      </x:c>
    </x:row>
    <x:row r="37">
      <x:c r="A37" t="n">
        <x:v>36</x:v>
      </x:c>
      <x:c r="B37" t="n">
        <x:v>16</x:v>
      </x:c>
      <x:c r="C37" t="inlineStr">
        <x:is>
          <x:t xml:space="preserve">Sr2LiSiO4F</x:t>
        </x:is>
      </x:c>
      <x:c r="D37" t="n">
        <x:v>1</x:v>
      </x:c>
      <x:c r="E37" t="n">
        <x:v>283</x:v>
      </x:c>
      <x:c r="F37" t="inlineStr">
        <x:is>
          <x:t xml:space="preserve">RbLi7(SiO4)2</x:t>
        </x:is>
      </x:c>
      <x:c r="G37" t="n">
        <x:v>1</x:v>
      </x:c>
      <x:c r="H37" t="b">
        <x:v>1</x:v>
      </x:c>
      <x:c r="I37" t="n">
        <x:v>1.996588803042687</x:v>
      </x:c>
      <x:c r="J37" t="n">
        <x:v>0.6493033998395912</x:v>
      </x:c>
      <x:c r="K37" s="12" t="n">
        <x:f>ABS(VLOOKUP(C37,Benchmark_Properties!$A$2:$B$16,2,FALSE)-VLOOKUP(F37,Benchmark_Properties!$A$2:$B$16,2,FALSE))</x:f>
        <x:v>58</x:v>
      </x:c>
    </x:row>
    <x:row r="38">
      <x:c r="A38" t="n">
        <x:v>37</x:v>
      </x:c>
      <x:c r="B38" t="n">
        <x:v>16</x:v>
      </x:c>
      <x:c r="C38" t="inlineStr">
        <x:is>
          <x:t xml:space="preserve">Sr2LiSiO4F</x:t>
        </x:is>
      </x:c>
      <x:c r="D38" t="n">
        <x:v>1</x:v>
      </x:c>
      <x:c r="E38" t="n">
        <x:v>111</x:v>
      </x:c>
      <x:c r="F38" t="inlineStr">
        <x:is>
          <x:t xml:space="preserve">Ba2MgSi2O7</x:t>
        </x:is>
      </x:c>
      <x:c r="G38" t="n">
        <x:v>0</x:v>
      </x:c>
      <x:c r="H38" t="b">
        <x:v>0</x:v>
      </x:c>
      <x:c r="I38" t="n">
        <x:v>2.009659971198674</x:v>
      </x:c>
      <x:c r="J38" t="n">
        <x:v>0.6535542270057172</x:v>
      </x:c>
      <x:c r="K38" s="12" t="n">
        <x:f>ABS(VLOOKUP(C38,Benchmark_Properties!$A$2:$B$16,2,FALSE)-VLOOKUP(F38,Benchmark_Properties!$A$2:$B$16,2,FALSE))</x:f>
        <x:v>25</x:v>
      </x:c>
    </x:row>
    <x:row r="39">
      <x:c r="A39" t="n">
        <x:v>38</x:v>
      </x:c>
      <x:c r="B39" t="n">
        <x:v>17</x:v>
      </x:c>
      <x:c r="C39" t="inlineStr">
        <x:is>
          <x:t xml:space="preserve">SrAl2O4</x:t>
        </x:is>
      </x:c>
      <x:c r="D39" t="n">
        <x:v>0</x:v>
      </x:c>
      <x:c r="E39" t="n">
        <x:v>261</x:v>
      </x:c>
      <x:c r="F39" t="inlineStr">
        <x:is>
          <x:t xml:space="preserve">NaCaPO4</x:t>
        </x:is>
      </x:c>
      <x:c r="G39" t="n">
        <x:v>1</x:v>
      </x:c>
      <x:c r="H39" t="b">
        <x:v>0</x:v>
      </x:c>
      <x:c r="I39" t="n">
        <x:v>2.015947433453698</x:v>
      </x:c>
      <x:c r="J39" t="n">
        <x:v>0.6555989497910641</x:v>
      </x:c>
      <x:c r="K39" s="12" t="n">
        <x:f>ABS(VLOOKUP(C39,Benchmark_Properties!$A$2:$B$16,2,FALSE)-VLOOKUP(F39,Benchmark_Properties!$A$2:$B$16,2,FALSE))</x:f>
        <x:v>12</x:v>
      </x:c>
    </x:row>
    <x:row r="40">
      <x:c r="A40" t="n">
        <x:v>39</x:v>
      </x:c>
      <x:c r="B40" t="n">
        <x:v>14</x:v>
      </x:c>
      <x:c r="C40" t="inlineStr">
        <x:is>
          <x:t xml:space="preserve">K2RbNaLi12(SiO4)4</x:t>
        </x:is>
      </x:c>
      <x:c r="D40" t="n">
        <x:v>1</x:v>
      </x:c>
      <x:c r="E40" t="n">
        <x:v>16</x:v>
      </x:c>
      <x:c r="F40" t="inlineStr">
        <x:is>
          <x:t xml:space="preserve">Sr2LiSiO4F</x:t>
        </x:is>
      </x:c>
      <x:c r="G40" t="n">
        <x:v>1</x:v>
      </x:c>
      <x:c r="H40" t="b">
        <x:v>1</x:v>
      </x:c>
      <x:c r="I40" t="n">
        <x:v>2.016247920912444</x:v>
      </x:c>
      <x:c r="J40" t="n">
        <x:v>0.6556966702271779</x:v>
      </x:c>
      <x:c r="K40" s="12" t="n">
        <x:f>ABS(VLOOKUP(C40,Benchmark_Properties!$A$2:$B$16,2,FALSE)-VLOOKUP(F40,Benchmark_Properties!$A$2:$B$16,2,FALSE))</x:f>
        <x:v>49</x:v>
      </x:c>
    </x:row>
    <x:row r="41">
      <x:c r="A41" t="n">
        <x:v>40</x:v>
      </x:c>
      <x:c r="B41" t="n">
        <x:v>16</x:v>
      </x:c>
      <x:c r="C41" t="inlineStr">
        <x:is>
          <x:t xml:space="preserve">Sr2LiSiO4F</x:t>
        </x:is>
      </x:c>
      <x:c r="D41" t="n">
        <x:v>1</x:v>
      </x:c>
      <x:c r="E41" t="n">
        <x:v>142</x:v>
      </x:c>
      <x:c r="F41" t="inlineStr">
        <x:is>
          <x:t xml:space="preserve">Ba2Ca(BO3)2</x:t>
        </x:is>
      </x:c>
      <x:c r="G41" t="n">
        <x:v>0</x:v>
      </x:c>
      <x:c r="H41" t="b">
        <x:v>0</x:v>
      </x:c>
      <x:c r="I41" t="n">
        <x:v>2.038597871464271</x:v>
      </x:c>
      <x:c r="J41" t="n">
        <x:v>0.6629650165473779</x:v>
      </x:c>
      <x:c r="K41" s="12" t="n">
        <x:f>ABS(VLOOKUP(C41,Benchmark_Properties!$A$2:$B$16,2,FALSE)-VLOOKUP(F41,Benchmark_Properties!$A$2:$B$16,2,FALSE))</x:f>
        <x:v>25</x:v>
      </x:c>
    </x:row>
    <x:row r="42">
      <x:c r="A42" t="n">
        <x:v>41</x:v>
      </x:c>
      <x:c r="B42" t="n">
        <x:v>111</x:v>
      </x:c>
      <x:c r="C42" t="inlineStr">
        <x:is>
          <x:t xml:space="preserve">Ba2MgSi2O7</x:t>
        </x:is>
      </x:c>
      <x:c r="D42" t="n">
        <x:v>0</x:v>
      </x:c>
      <x:c r="E42" t="n">
        <x:v>199</x:v>
      </x:c>
      <x:c r="F42" t="inlineStr">
        <x:is>
          <x:t xml:space="preserve">Cs2BaP2O7</x:t>
        </x:is>
      </x:c>
      <x:c r="G42" t="n">
        <x:v>3</x:v>
      </x:c>
      <x:c r="H42" t="b">
        <x:v>0</x:v>
      </x:c>
      <x:c r="I42" t="n">
        <x:v>2.047346557358667</x:v>
      </x:c>
      <x:c r="J42" t="n">
        <x:v>0.665810144941719</x:v>
      </x:c>
      <x:c r="K42" s="12" t="n">
        <x:f>ABS(VLOOKUP(C42,Benchmark_Properties!$A$2:$B$16,2,FALSE)-VLOOKUP(F42,Benchmark_Properties!$A$2:$B$16,2,FALSE))</x:f>
        <x:v>25</x:v>
      </x:c>
    </x:row>
    <x:row r="43">
      <x:c r="A43" t="n">
        <x:v>42</x:v>
      </x:c>
      <x:c r="B43" t="n">
        <x:v>15</x:v>
      </x:c>
      <x:c r="C43" t="inlineStr">
        <x:is>
          <x:t xml:space="preserve">Rb2ZrSi2O7</x:t>
        </x:is>
      </x:c>
      <x:c r="D43" t="n">
        <x:v>1</x:v>
      </x:c>
      <x:c r="E43" t="n">
        <x:v>283</x:v>
      </x:c>
      <x:c r="F43" t="inlineStr">
        <x:is>
          <x:t xml:space="preserve">RbLi7(SiO4)2</x:t>
        </x:is>
      </x:c>
      <x:c r="G43" t="n">
        <x:v>1</x:v>
      </x:c>
      <x:c r="H43" t="b">
        <x:v>1</x:v>
      </x:c>
      <x:c r="I43" t="n">
        <x:v>2.054394398107948</x:v>
      </x:c>
      <x:c r="J43" t="n">
        <x:v>0.6681021476580831</x:v>
      </x:c>
      <x:c r="K43" s="12" t="n">
        <x:f>ABS(VLOOKUP(C43,Benchmark_Properties!$A$2:$B$16,2,FALSE)-VLOOKUP(F43,Benchmark_Properties!$A$2:$B$16,2,FALSE))</x:f>
        <x:v>49</x:v>
      </x:c>
    </x:row>
    <x:row r="44">
      <x:c r="A44" t="n">
        <x:v>43</x:v>
      </x:c>
      <x:c r="B44" t="n">
        <x:v>171</x:v>
      </x:c>
      <x:c r="C44" t="inlineStr">
        <x:is>
          <x:t xml:space="preserve">BaLi2SiO4</x:t>
        </x:is>
      </x:c>
      <x:c r="D44" t="n">
        <x:v>1</x:v>
      </x:c>
      <x:c r="E44" t="n">
        <x:v>199</x:v>
      </x:c>
      <x:c r="F44" t="inlineStr">
        <x:is>
          <x:t xml:space="preserve">Cs2BaP2O7</x:t>
        </x:is>
      </x:c>
      <x:c r="G44" t="n">
        <x:v>3</x:v>
      </x:c>
      <x:c r="H44" t="b">
        <x:v>0</x:v>
      </x:c>
      <x:c r="I44" t="n">
        <x:v>2.05596698011568</x:v>
      </x:c>
      <x:c r="J44" t="n">
        <x:v>0.6686135613465657</x:v>
      </x:c>
      <x:c r="K44" s="12" t="n">
        <x:f>ABS(VLOOKUP(C44,Benchmark_Properties!$A$2:$B$16,2,FALSE)-VLOOKUP(F44,Benchmark_Properties!$A$2:$B$16,2,FALSE))</x:f>
        <x:v>39</x:v>
      </x:c>
    </x:row>
    <x:row r="45">
      <x:c r="A45" t="n">
        <x:v>44</x:v>
      </x:c>
      <x:c r="B45" t="n">
        <x:v>111</x:v>
      </x:c>
      <x:c r="C45" t="inlineStr">
        <x:is>
          <x:t xml:space="preserve">Ba2MgSi2O7</x:t>
        </x:is>
      </x:c>
      <x:c r="D45" t="n">
        <x:v>0</x:v>
      </x:c>
      <x:c r="E45" t="n">
        <x:v>261</x:v>
      </x:c>
      <x:c r="F45" t="inlineStr">
        <x:is>
          <x:t xml:space="preserve">NaCaPO4</x:t>
        </x:is>
      </x:c>
      <x:c r="G45" t="n">
        <x:v>1</x:v>
      </x:c>
      <x:c r="H45" t="b">
        <x:v>0</x:v>
      </x:c>
      <x:c r="I45" t="n">
        <x:v>2.068220075611361</x:v>
      </x:c>
      <x:c r="J45" t="n">
        <x:v>0.6725983460712823</x:v>
      </x:c>
      <x:c r="K45" s="12" t="n">
        <x:f>ABS(VLOOKUP(C45,Benchmark_Properties!$A$2:$B$16,2,FALSE)-VLOOKUP(F45,Benchmark_Properties!$A$2:$B$16,2,FALSE))</x:f>
        <x:v>10</x:v>
      </x:c>
    </x:row>
    <x:row r="46">
      <x:c r="A46" t="n">
        <x:v>45</x:v>
      </x:c>
      <x:c r="B46" t="n">
        <x:v>261</x:v>
      </x:c>
      <x:c r="C46" t="inlineStr">
        <x:is>
          <x:t xml:space="preserve">NaCaPO4</x:t>
        </x:is>
      </x:c>
      <x:c r="D46" t="n">
        <x:v>1</x:v>
      </x:c>
      <x:c r="E46" t="n">
        <x:v>283</x:v>
      </x:c>
      <x:c r="F46" t="inlineStr">
        <x:is>
          <x:t xml:space="preserve">RbLi7(SiO4)2</x:t>
        </x:is>
      </x:c>
      <x:c r="G46" t="n">
        <x:v>1</x:v>
      </x:c>
      <x:c r="H46" t="b">
        <x:v>1</x:v>
      </x:c>
      <x:c r="I46" t="n">
        <x:v>2.077589957205308</x:v>
      </x:c>
      <x:c r="J46" t="n">
        <x:v>0.6756454912650113</x:v>
      </x:c>
      <x:c r="K46" s="12" t="n">
        <x:f>ABS(VLOOKUP(C46,Benchmark_Properties!$A$2:$B$16,2,FALSE)-VLOOKUP(F46,Benchmark_Properties!$A$2:$B$16,2,FALSE))</x:f>
        <x:v>23</x:v>
      </x:c>
    </x:row>
    <x:row r="47">
      <x:c r="A47" t="n">
        <x:v>46</x:v>
      </x:c>
      <x:c r="B47" t="n">
        <x:v>15</x:v>
      </x:c>
      <x:c r="C47" t="inlineStr">
        <x:is>
          <x:t xml:space="preserve">Rb2ZrSi2O7</x:t>
        </x:is>
      </x:c>
      <x:c r="D47" t="n">
        <x:v>1</x:v>
      </x:c>
      <x:c r="E47" t="n">
        <x:v>142</x:v>
      </x:c>
      <x:c r="F47" t="inlineStr">
        <x:is>
          <x:t xml:space="preserve">Ba2Ca(BO3)2</x:t>
        </x:is>
      </x:c>
      <x:c r="G47" t="n">
        <x:v>0</x:v>
      </x:c>
      <x:c r="H47" t="b">
        <x:v>0</x:v>
      </x:c>
      <x:c r="I47" t="n">
        <x:v>2.126499645604293</x:v>
      </x:c>
      <x:c r="J47" t="n">
        <x:v>0.6915512335561429</x:v>
      </x:c>
      <x:c r="K47" s="12" t="n">
        <x:f>ABS(VLOOKUP(C47,Benchmark_Properties!$A$2:$B$16,2,FALSE)-VLOOKUP(F47,Benchmark_Properties!$A$2:$B$16,2,FALSE))</x:f>
        <x:v>16</x:v>
      </x:c>
    </x:row>
    <x:row r="48">
      <x:c r="A48" t="n">
        <x:v>47</x:v>
      </x:c>
      <x:c r="B48" t="n">
        <x:v>16</x:v>
      </x:c>
      <x:c r="C48" t="inlineStr">
        <x:is>
          <x:t xml:space="preserve">Sr2LiSiO4F</x:t>
        </x:is>
      </x:c>
      <x:c r="D48" t="n">
        <x:v>1</x:v>
      </x:c>
      <x:c r="E48" t="n">
        <x:v>180</x:v>
      </x:c>
      <x:c r="F48" t="inlineStr">
        <x:is>
          <x:t xml:space="preserve">Ba6Y2Al4O15</x:t>
        </x:is>
      </x:c>
      <x:c r="G48" t="n">
        <x:v>0</x:v>
      </x:c>
      <x:c r="H48" t="b">
        <x:v>0</x:v>
      </x:c>
      <x:c r="I48" t="n">
        <x:v>2.157444646586137</x:v>
      </x:c>
      <x:c r="J48" t="n">
        <x:v>0.701614745038793</x:v>
      </x:c>
      <x:c r="K48" s="12" t="n">
        <x:f>ABS(VLOOKUP(C48,Benchmark_Properties!$A$2:$B$16,2,FALSE)-VLOOKUP(F48,Benchmark_Properties!$A$2:$B$16,2,FALSE))</x:f>
        <x:v>31</x:v>
      </x:c>
    </x:row>
    <x:row r="49">
      <x:c r="A49" t="n">
        <x:v>48</x:v>
      </x:c>
      <x:c r="B49" t="n">
        <x:v>16</x:v>
      </x:c>
      <x:c r="C49" t="inlineStr">
        <x:is>
          <x:t xml:space="preserve">Sr2LiSiO4F</x:t>
        </x:is>
      </x:c>
      <x:c r="D49" t="n">
        <x:v>1</x:v>
      </x:c>
      <x:c r="E49" t="n">
        <x:v>95</x:v>
      </x:c>
      <x:c r="F49" t="inlineStr">
        <x:is>
          <x:t xml:space="preserve">Na3YSi2O7</x:t>
        </x:is>
      </x:c>
      <x:c r="G49" t="n">
        <x:v>1</x:v>
      </x:c>
      <x:c r="H49" t="b">
        <x:v>1</x:v>
      </x:c>
      <x:c r="I49" t="n">
        <x:v>2.168395554785855</x:v>
      </x:c>
      <x:c r="J49" t="n">
        <x:v>0.7051760501580906</x:v>
      </x:c>
      <x:c r="K49" s="12" t="n">
        <x:f>ABS(VLOOKUP(C49,Benchmark_Properties!$A$2:$B$16,2,FALSE)-VLOOKUP(F49,Benchmark_Properties!$A$2:$B$16,2,FALSE))</x:f>
        <x:v>5</x:v>
      </x:c>
    </x:row>
    <x:row r="50">
      <x:c r="A50" t="n">
        <x:v>49</x:v>
      </x:c>
      <x:c r="B50" t="n">
        <x:v>16</x:v>
      </x:c>
      <x:c r="C50" t="inlineStr">
        <x:is>
          <x:t xml:space="preserve">Sr2LiSiO4F</x:t>
        </x:is>
      </x:c>
      <x:c r="D50" t="n">
        <x:v>1</x:v>
      </x:c>
      <x:c r="E50" t="n">
        <x:v>17</x:v>
      </x:c>
      <x:c r="F50" t="inlineStr">
        <x:is>
          <x:t xml:space="preserve">SrAl2O4</x:t>
        </x:is>
      </x:c>
      <x:c r="G50" t="n">
        <x:v>0</x:v>
      </x:c>
      <x:c r="H50" t="b">
        <x:v>0</x:v>
      </x:c>
      <x:c r="I50" t="n">
        <x:v>2.178965593742312</x:v>
      </x:c>
      <x:c r="J50" t="n">
        <x:v>0.7086134941728047</x:v>
      </x:c>
      <x:c r="K50" s="12" t="n">
        <x:f>ABS(VLOOKUP(C50,Benchmark_Properties!$A$2:$B$16,2,FALSE)-VLOOKUP(F50,Benchmark_Properties!$A$2:$B$16,2,FALSE))</x:f>
        <x:v>23</x:v>
      </x:c>
    </x:row>
    <x:row r="51">
      <x:c r="A51" t="n">
        <x:v>50</x:v>
      </x:c>
      <x:c r="B51" t="n">
        <x:v>199</x:v>
      </x:c>
      <x:c r="C51" t="inlineStr">
        <x:is>
          <x:t xml:space="preserve">Cs2BaP2O7</x:t>
        </x:is>
      </x:c>
      <x:c r="D51" t="n">
        <x:v>3</x:v>
      </x:c>
      <x:c r="E51" t="n">
        <x:v>283</x:v>
      </x:c>
      <x:c r="F51" t="inlineStr">
        <x:is>
          <x:t xml:space="preserve">RbLi7(SiO4)2</x:t>
        </x:is>
      </x:c>
      <x:c r="G51" t="n">
        <x:v>1</x:v>
      </x:c>
      <x:c r="H51" t="b">
        <x:v>0</x:v>
      </x:c>
      <x:c r="I51" t="n">
        <x:v>2.193421516162295</x:v>
      </x:c>
      <x:c r="J51" t="n">
        <x:v>0.7133146522484227</x:v>
      </x:c>
      <x:c r="K51" s="12" t="n">
        <x:f>ABS(VLOOKUP(C51,Benchmark_Properties!$A$2:$B$16,2,FALSE)-VLOOKUP(F51,Benchmark_Properties!$A$2:$B$16,2,FALSE))</x:f>
        <x:v>58</x:v>
      </x:c>
    </x:row>
    <x:row r="52">
      <x:c r="A52" t="n">
        <x:v>51</x:v>
      </x:c>
      <x:c r="B52" t="n">
        <x:v>16</x:v>
      </x:c>
      <x:c r="C52" t="inlineStr">
        <x:is>
          <x:t xml:space="preserve">Sr2LiSiO4F</x:t>
        </x:is>
      </x:c>
      <x:c r="D52" t="n">
        <x:v>1</x:v>
      </x:c>
      <x:c r="E52" t="n">
        <x:v>144</x:v>
      </x:c>
      <x:c r="F52" t="inlineStr">
        <x:is>
          <x:t xml:space="preserve">Ba2Mg(PO4)2</x:t>
        </x:is>
      </x:c>
      <x:c r="G52" t="n">
        <x:v>0</x:v>
      </x:c>
      <x:c r="H52" t="b">
        <x:v>0</x:v>
      </x:c>
      <x:c r="I52" t="n">
        <x:v>2.208672400844926</x:v>
      </x:c>
      <x:c r="J52" t="n">
        <x:v>0.7182743371168858</x:v>
      </x:c>
      <x:c r="K52" s="12" t="n">
        <x:f>ABS(VLOOKUP(C52,Benchmark_Properties!$A$2:$B$16,2,FALSE)-VLOOKUP(F52,Benchmark_Properties!$A$2:$B$16,2,FALSE))</x:f>
        <x:v>20</x:v>
      </x:c>
    </x:row>
    <x:row r="53">
      <x:c r="A53" t="n">
        <x:v>52</x:v>
      </x:c>
      <x:c r="B53" t="n">
        <x:v>95</x:v>
      </x:c>
      <x:c r="C53" t="inlineStr">
        <x:is>
          <x:t xml:space="preserve">Na3YSi2O7</x:t>
        </x:is>
      </x:c>
      <x:c r="D53" t="n">
        <x:v>1</x:v>
      </x:c>
      <x:c r="E53" t="n">
        <x:v>199</x:v>
      </x:c>
      <x:c r="F53" t="inlineStr">
        <x:is>
          <x:t xml:space="preserve">Cs2BaP2O7</x:t>
        </x:is>
      </x:c>
      <x:c r="G53" t="n">
        <x:v>3</x:v>
      </x:c>
      <x:c r="H53" t="b">
        <x:v>0</x:v>
      </x:c>
      <x:c r="I53" t="n">
        <x:v>2.209573625062782</x:v>
      </x:c>
      <x:c r="J53" t="n">
        <x:v>0.7185674209746034</x:v>
      </x:c>
      <x:c r="K53" s="12" t="n">
        <x:f>ABS(VLOOKUP(C53,Benchmark_Properties!$A$2:$B$16,2,FALSE)-VLOOKUP(F53,Benchmark_Properties!$A$2:$B$16,2,FALSE))</x:f>
        <x:v>5</x:v>
      </x:c>
    </x:row>
    <x:row r="54">
      <x:c r="A54" t="n">
        <x:v>53</x:v>
      </x:c>
      <x:c r="B54" t="n">
        <x:v>153</x:v>
      </x:c>
      <x:c r="C54" t="inlineStr">
        <x:is>
          <x:t xml:space="preserve">Ba3Si6(NO6)2</x:t>
        </x:is>
      </x:c>
      <x:c r="D54" t="n">
        <x:v>0</x:v>
      </x:c>
      <x:c r="E54" t="n">
        <x:v>157</x:v>
      </x:c>
      <x:c r="F54" t="inlineStr">
        <x:is>
          <x:t xml:space="preserve">BaNa(B3O5)3</x:t>
        </x:is>
      </x:c>
      <x:c r="G54" t="n">
        <x:v>1</x:v>
      </x:c>
      <x:c r="H54" t="b">
        <x:v>0</x:v>
      </x:c>
      <x:c r="I54" t="n">
        <x:v>2.21825288443646</x:v>
      </x:c>
      <x:c r="J54" t="n">
        <x:v>0.7213899714220618</x:v>
      </x:c>
      <x:c r="K54" s="12" t="n">
        <x:f>ABS(VLOOKUP(C54,Benchmark_Properties!$A$2:$B$16,2,FALSE)-VLOOKUP(F54,Benchmark_Properties!$A$2:$B$16,2,FALSE))</x:f>
        <x:v>7</x:v>
      </x:c>
    </x:row>
    <x:row r="55">
      <x:c r="A55" t="n">
        <x:v>54</x:v>
      </x:c>
      <x:c r="B55" t="n">
        <x:v>15</x:v>
      </x:c>
      <x:c r="C55" t="inlineStr">
        <x:is>
          <x:t xml:space="preserve">Rb2ZrSi2O7</x:t>
        </x:is>
      </x:c>
      <x:c r="D55" t="n">
        <x:v>1</x:v>
      </x:c>
      <x:c r="E55" t="n">
        <x:v>144</x:v>
      </x:c>
      <x:c r="F55" t="inlineStr">
        <x:is>
          <x:t xml:space="preserve">Ba2Mg(PO4)2</x:t>
        </x:is>
      </x:c>
      <x:c r="G55" t="n">
        <x:v>0</x:v>
      </x:c>
      <x:c r="H55" t="b">
        <x:v>0</x:v>
      </x:c>
      <x:c r="I55" t="n">
        <x:v>2.235107052864135</x:v>
      </x:c>
      <x:c r="J55" t="n">
        <x:v>0.7268710543795951</x:v>
      </x:c>
      <x:c r="K55" s="12" t="n">
        <x:f>ABS(VLOOKUP(C55,Benchmark_Properties!$A$2:$B$16,2,FALSE)-VLOOKUP(F55,Benchmark_Properties!$A$2:$B$16,2,FALSE))</x:f>
        <x:v>29</x:v>
      </x:c>
    </x:row>
    <x:row r="56">
      <x:c r="A56" t="n">
        <x:v>55</x:v>
      </x:c>
      <x:c r="B56" t="n">
        <x:v>157</x:v>
      </x:c>
      <x:c r="C56" t="inlineStr">
        <x:is>
          <x:t xml:space="preserve">BaNa(B3O5)3</x:t>
        </x:is>
      </x:c>
      <x:c r="D56" t="n">
        <x:v>1</x:v>
      </x:c>
      <x:c r="E56" t="n">
        <x:v>171</x:v>
      </x:c>
      <x:c r="F56" t="inlineStr">
        <x:is>
          <x:t xml:space="preserve">BaLi2SiO4</x:t>
        </x:is>
      </x:c>
      <x:c r="G56" t="n">
        <x:v>1</x:v>
      </x:c>
      <x:c r="H56" t="b">
        <x:v>1</x:v>
      </x:c>
      <x:c r="I56" t="n">
        <x:v>2.237785678383976</x:v>
      </x:c>
      <x:c r="J56" t="n">
        <x:v>0.7277421604652743</x:v>
      </x:c>
      <x:c r="K56" s="12" t="n">
        <x:f>ABS(VLOOKUP(C56,Benchmark_Properties!$A$2:$B$16,2,FALSE)-VLOOKUP(F56,Benchmark_Properties!$A$2:$B$16,2,FALSE))</x:f>
        <x:v>0</x:v>
      </x:c>
    </x:row>
    <x:row r="57">
      <x:c r="A57" t="n">
        <x:v>56</x:v>
      </x:c>
      <x:c r="B57" t="n">
        <x:v>95</x:v>
      </x:c>
      <x:c r="C57" t="inlineStr">
        <x:is>
          <x:t xml:space="preserve">Na3YSi2O7</x:t>
        </x:is>
      </x:c>
      <x:c r="D57" t="n">
        <x:v>1</x:v>
      </x:c>
      <x:c r="E57" t="n">
        <x:v>283</x:v>
      </x:c>
      <x:c r="F57" t="inlineStr">
        <x:is>
          <x:t xml:space="preserve">RbLi7(SiO4)2</x:t>
        </x:is>
      </x:c>
      <x:c r="G57" t="n">
        <x:v>1</x:v>
      </x:c>
      <x:c r="H57" t="b">
        <x:v>1</x:v>
      </x:c>
      <x:c r="I57" t="n">
        <x:v>2.240670501556263</x:v>
      </x:c>
      <x:c r="J57" t="n">
        <x:v>0.7286803233412994</x:v>
      </x:c>
      <x:c r="K57" s="12" t="n">
        <x:f>ABS(VLOOKUP(C57,Benchmark_Properties!$A$2:$B$16,2,FALSE)-VLOOKUP(F57,Benchmark_Properties!$A$2:$B$16,2,FALSE))</x:f>
        <x:v>63</x:v>
      </x:c>
    </x:row>
    <x:row r="58">
      <x:c r="A58" t="n">
        <x:v>57</x:v>
      </x:c>
      <x:c r="B58" t="n">
        <x:v>153</x:v>
      </x:c>
      <x:c r="C58" t="inlineStr">
        <x:is>
          <x:t xml:space="preserve">Ba3Si6(NO6)2</x:t>
        </x:is>
      </x:c>
      <x:c r="D58" t="n">
        <x:v>0</x:v>
      </x:c>
      <x:c r="E58" t="n">
        <x:v>171</x:v>
      </x:c>
      <x:c r="F58" t="inlineStr">
        <x:is>
          <x:t xml:space="preserve">BaLi2SiO4</x:t>
        </x:is>
      </x:c>
      <x:c r="G58" t="n">
        <x:v>1</x:v>
      </x:c>
      <x:c r="H58" t="b">
        <x:v>0</x:v>
      </x:c>
      <x:c r="I58" t="n">
        <x:v>2.240781584034105</x:v>
      </x:c>
      <x:c r="J58" t="n">
        <x:v>0.7287164480708459</x:v>
      </x:c>
      <x:c r="K58" s="12" t="n">
        <x:f>ABS(VLOOKUP(C58,Benchmark_Properties!$A$2:$B$16,2,FALSE)-VLOOKUP(F58,Benchmark_Properties!$A$2:$B$16,2,FALSE))</x:f>
        <x:v>7</x:v>
      </x:c>
    </x:row>
    <x:row r="59">
      <x:c r="A59" t="n">
        <x:v>58</x:v>
      </x:c>
      <x:c r="B59" t="n">
        <x:v>14</x:v>
      </x:c>
      <x:c r="C59" t="inlineStr">
        <x:is>
          <x:t xml:space="preserve">K2RbNaLi12(SiO4)4</x:t>
        </x:is>
      </x:c>
      <x:c r="D59" t="n">
        <x:v>1</x:v>
      </x:c>
      <x:c r="E59" t="n">
        <x:v>95</x:v>
      </x:c>
      <x:c r="F59" t="inlineStr">
        <x:is>
          <x:t xml:space="preserve">Na3YSi2O7</x:t>
        </x:is>
      </x:c>
      <x:c r="G59" t="n">
        <x:v>1</x:v>
      </x:c>
      <x:c r="H59" t="b">
        <x:v>1</x:v>
      </x:c>
      <x:c r="I59" t="n">
        <x:v>2.253876525616645</x:v>
      </x:c>
      <x:c r="J59" t="n">
        <x:v>0.7329750065067575</x:v>
      </x:c>
      <x:c r="K59" s="12" t="n">
        <x:f>ABS(VLOOKUP(C59,Benchmark_Properties!$A$2:$B$16,2,FALSE)-VLOOKUP(F59,Benchmark_Properties!$A$2:$B$16,2,FALSE))</x:f>
        <x:v>54</x:v>
      </x:c>
    </x:row>
    <x:row r="60">
      <x:c r="A60" t="n">
        <x:v>59</x:v>
      </x:c>
      <x:c r="B60" t="n">
        <x:v>95</x:v>
      </x:c>
      <x:c r="C60" t="inlineStr">
        <x:is>
          <x:t xml:space="preserve">Na3YSi2O7</x:t>
        </x:is>
      </x:c>
      <x:c r="D60" t="n">
        <x:v>1</x:v>
      </x:c>
      <x:c r="E60" t="n">
        <x:v>153</x:v>
      </x:c>
      <x:c r="F60" t="inlineStr">
        <x:is>
          <x:t xml:space="preserve">Ba3Si6(NO6)2</x:t>
        </x:is>
      </x:c>
      <x:c r="G60" t="n">
        <x:v>0</x:v>
      </x:c>
      <x:c r="H60" t="b">
        <x:v>0</x:v>
      </x:c>
      <x:c r="I60" t="n">
        <x:v>2.25823230595936</x:v>
      </x:c>
      <x:c r="J60" t="n">
        <x:v>0.73439153402668</x:v>
      </x:c>
      <x:c r="K60" s="12" t="n">
        <x:f>ABS(VLOOKUP(C60,Benchmark_Properties!$A$2:$B$16,2,FALSE)-VLOOKUP(F60,Benchmark_Properties!$A$2:$B$16,2,FALSE))</x:f>
        <x:v>37</x:v>
      </x:c>
    </x:row>
    <x:row r="61">
      <x:c r="A61" t="n">
        <x:v>60</x:v>
      </x:c>
      <x:c r="B61" t="n">
        <x:v>15</x:v>
      </x:c>
      <x:c r="C61" t="inlineStr">
        <x:is>
          <x:t xml:space="preserve">Rb2ZrSi2O7</x:t>
        </x:is>
      </x:c>
      <x:c r="D61" t="n">
        <x:v>1</x:v>
      </x:c>
      <x:c r="E61" t="n">
        <x:v>153</x:v>
      </x:c>
      <x:c r="F61" t="inlineStr">
        <x:is>
          <x:t xml:space="preserve">Ba3Si6(NO6)2</x:t>
        </x:is>
      </x:c>
      <x:c r="G61" t="n">
        <x:v>0</x:v>
      </x:c>
      <x:c r="H61" t="b">
        <x:v>0</x:v>
      </x:c>
      <x:c r="I61" t="n">
        <x:v>2.263852509860623</x:v>
      </x:c>
      <x:c r="J61" t="n">
        <x:v>0.736219260144006</x:v>
      </x:c>
      <x:c r="K61" s="12" t="n">
        <x:f>ABS(VLOOKUP(C61,Benchmark_Properties!$A$2:$B$16,2,FALSE)-VLOOKUP(F61,Benchmark_Properties!$A$2:$B$16,2,FALSE))</x:f>
        <x:v>23</x:v>
      </x:c>
    </x:row>
    <x:row r="62">
      <x:c r="A62" t="n">
        <x:v>61</x:v>
      </x:c>
      <x:c r="B62" t="n">
        <x:v>111</x:v>
      </x:c>
      <x:c r="C62" t="inlineStr">
        <x:is>
          <x:t xml:space="preserve">Ba2MgSi2O7</x:t>
        </x:is>
      </x:c>
      <x:c r="D62" t="n">
        <x:v>0</x:v>
      </x:c>
      <x:c r="E62" t="n">
        <x:v>171</x:v>
      </x:c>
      <x:c r="F62" t="inlineStr">
        <x:is>
          <x:t xml:space="preserve">BaLi2SiO4</x:t>
        </x:is>
      </x:c>
      <x:c r="G62" t="n">
        <x:v>1</x:v>
      </x:c>
      <x:c r="H62" t="b">
        <x:v>0</x:v>
      </x:c>
      <x:c r="I62" t="n">
        <x:v>2.264589168060649</x:v>
      </x:c>
      <x:c r="J62" t="n">
        <x:v>0.7364588260842077</x:v>
      </x:c>
      <x:c r="K62" s="12" t="n">
        <x:f>ABS(VLOOKUP(C62,Benchmark_Properties!$A$2:$B$16,2,FALSE)-VLOOKUP(F62,Benchmark_Properties!$A$2:$B$16,2,FALSE))</x:f>
        <x:v>14</x:v>
      </x:c>
    </x:row>
    <x:row r="63">
      <x:c r="A63" t="n">
        <x:v>62</x:v>
      </x:c>
      <x:c r="B63" t="n">
        <x:v>153</x:v>
      </x:c>
      <x:c r="C63" t="inlineStr">
        <x:is>
          <x:t xml:space="preserve">Ba3Si6(NO6)2</x:t>
        </x:is>
      </x:c>
      <x:c r="D63" t="n">
        <x:v>0</x:v>
      </x:c>
      <x:c r="E63" t="n">
        <x:v>261</x:v>
      </x:c>
      <x:c r="F63" t="inlineStr">
        <x:is>
          <x:t xml:space="preserve">NaCaPO4</x:t>
        </x:is>
      </x:c>
      <x:c r="G63" t="n">
        <x:v>1</x:v>
      </x:c>
      <x:c r="H63" t="b">
        <x:v>0</x:v>
      </x:c>
      <x:c r="I63" t="n">
        <x:v>2.265967767720607</x:v>
      </x:c>
      <x:c r="J63" t="n">
        <x:v>0.7369071554772526</x:v>
      </x:c>
      <x:c r="K63" s="12" t="n">
        <x:f>ABS(VLOOKUP(C63,Benchmark_Properties!$A$2:$B$16,2,FALSE)-VLOOKUP(F63,Benchmark_Properties!$A$2:$B$16,2,FALSE))</x:f>
        <x:v>3</x:v>
      </x:c>
    </x:row>
    <x:row r="64">
      <x:c r="A64" t="n">
        <x:v>63</x:v>
      </x:c>
      <x:c r="B64" t="n">
        <x:v>15</x:v>
      </x:c>
      <x:c r="C64" t="inlineStr">
        <x:is>
          <x:t xml:space="preserve">Rb2ZrSi2O7</x:t>
        </x:is>
      </x:c>
      <x:c r="D64" t="n">
        <x:v>1</x:v>
      </x:c>
      <x:c r="E64" t="n">
        <x:v>157</x:v>
      </x:c>
      <x:c r="F64" t="inlineStr">
        <x:is>
          <x:t xml:space="preserve">BaNa(B3O5)3</x:t>
        </x:is>
      </x:c>
      <x:c r="G64" t="n">
        <x:v>1</x:v>
      </x:c>
      <x:c r="H64" t="b">
        <x:v>1</x:v>
      </x:c>
      <x:c r="I64" t="n">
        <x:v>2.270305420339997</x:v>
      </x:c>
      <x:c r="J64" t="n">
        <x:v>0.7383177877460507</x:v>
      </x:c>
      <x:c r="K64" s="12" t="n">
        <x:f>ABS(VLOOKUP(C64,Benchmark_Properties!$A$2:$B$16,2,FALSE)-VLOOKUP(F64,Benchmark_Properties!$A$2:$B$16,2,FALSE))</x:f>
        <x:v>30</x:v>
      </x:c>
    </x:row>
    <x:row r="65">
      <x:c r="A65" t="n">
        <x:v>64</x:v>
      </x:c>
      <x:c r="B65" t="n">
        <x:v>180</x:v>
      </x:c>
      <x:c r="C65" t="inlineStr">
        <x:is>
          <x:t xml:space="preserve">Ba6Y2Al4O15</x:t>
        </x:is>
      </x:c>
      <x:c r="D65" t="n">
        <x:v>0</x:v>
      </x:c>
      <x:c r="E65" t="n">
        <x:v>261</x:v>
      </x:c>
      <x:c r="F65" t="inlineStr">
        <x:is>
          <x:t xml:space="preserve">NaCaPO4</x:t>
        </x:is>
      </x:c>
      <x:c r="G65" t="n">
        <x:v>1</x:v>
      </x:c>
      <x:c r="H65" t="b">
        <x:v>0</x:v>
      </x:c>
      <x:c r="I65" t="n">
        <x:v>2.285200724525443</x:v>
      </x:c>
      <x:c r="J65" t="n">
        <x:v>0.7431618355712792</x:v>
      </x:c>
      <x:c r="K65" s="12" t="n">
        <x:f>ABS(VLOOKUP(C65,Benchmark_Properties!$A$2:$B$16,2,FALSE)-VLOOKUP(F65,Benchmark_Properties!$A$2:$B$16,2,FALSE))</x:f>
        <x:v>4</x:v>
      </x:c>
    </x:row>
    <x:row r="66">
      <x:c r="A66" t="n">
        <x:v>65</x:v>
      </x:c>
      <x:c r="B66" t="n">
        <x:v>180</x:v>
      </x:c>
      <x:c r="C66" t="inlineStr">
        <x:is>
          <x:t xml:space="preserve">Ba6Y2Al4O15</x:t>
        </x:is>
      </x:c>
      <x:c r="D66" t="n">
        <x:v>0</x:v>
      </x:c>
      <x:c r="E66" t="n">
        <x:v>199</x:v>
      </x:c>
      <x:c r="F66" t="inlineStr">
        <x:is>
          <x:t xml:space="preserve">Cs2BaP2O7</x:t>
        </x:is>
      </x:c>
      <x:c r="G66" t="n">
        <x:v>3</x:v>
      </x:c>
      <x:c r="H66" t="b">
        <x:v>0</x:v>
      </x:c>
      <x:c r="I66" t="n">
        <x:v>2.294534943291609</x:v>
      </x:c>
      <x:c r="J66" t="n">
        <x:v>0.7461973829861911</x:v>
      </x:c>
      <x:c r="K66" s="12" t="n">
        <x:f>ABS(VLOOKUP(C66,Benchmark_Properties!$A$2:$B$16,2,FALSE)-VLOOKUP(F66,Benchmark_Properties!$A$2:$B$16,2,FALSE))</x:f>
        <x:v>31</x:v>
      </x:c>
    </x:row>
    <x:row r="67">
      <x:c r="A67" t="n">
        <x:v>66</x:v>
      </x:c>
      <x:c r="B67" t="n">
        <x:v>142</x:v>
      </x:c>
      <x:c r="C67" t="inlineStr">
        <x:is>
          <x:t xml:space="preserve">Ba2Ca(BO3)2</x:t>
        </x:is>
      </x:c>
      <x:c r="D67" t="n">
        <x:v>0</x:v>
      </x:c>
      <x:c r="E67" t="n">
        <x:v>199</x:v>
      </x:c>
      <x:c r="F67" t="inlineStr">
        <x:is>
          <x:t xml:space="preserve">Cs2BaP2O7</x:t>
        </x:is>
      </x:c>
      <x:c r="G67" t="n">
        <x:v>3</x:v>
      </x:c>
      <x:c r="H67" t="b">
        <x:v>0</x:v>
      </x:c>
      <x:c r="I67" t="n">
        <x:v>2.295775185437834</x:v>
      </x:c>
      <x:c r="J67" t="n">
        <x:v>0.7466007176342374</x:v>
      </x:c>
      <x:c r="K67" s="12" t="n">
        <x:f>ABS(VLOOKUP(C67,Benchmark_Properties!$A$2:$B$16,2,FALSE)-VLOOKUP(F67,Benchmark_Properties!$A$2:$B$16,2,FALSE))</x:f>
        <x:v>25</x:v>
      </x:c>
    </x:row>
    <x:row r="68">
      <x:c r="A68" t="n">
        <x:v>67</x:v>
      </x:c>
      <x:c r="B68" t="n">
        <x:v>16</x:v>
      </x:c>
      <x:c r="C68" t="inlineStr">
        <x:is>
          <x:t xml:space="preserve">Sr2LiSiO4F</x:t>
        </x:is>
      </x:c>
      <x:c r="D68" t="n">
        <x:v>1</x:v>
      </x:c>
      <x:c r="E68" t="n">
        <x:v>153</x:v>
      </x:c>
      <x:c r="F68" t="inlineStr">
        <x:is>
          <x:t xml:space="preserve">Ba3Si6(NO6)2</x:t>
        </x:is>
      </x:c>
      <x:c r="G68" t="n">
        <x:v>0</x:v>
      </x:c>
      <x:c r="H68" t="b">
        <x:v>0</x:v>
      </x:c>
      <x:c r="I68" t="n">
        <x:v>2.308766294569891</x:v>
      </x:c>
      <x:c r="J68" t="n">
        <x:v>0.7508255090956926</x:v>
      </x:c>
      <x:c r="K68" s="12" t="n">
        <x:f>ABS(VLOOKUP(C68,Benchmark_Properties!$A$2:$B$16,2,FALSE)-VLOOKUP(F68,Benchmark_Properties!$A$2:$B$16,2,FALSE))</x:f>
        <x:v>32</x:v>
      </x:c>
    </x:row>
    <x:row r="69">
      <x:c r="A69" t="n">
        <x:v>68</x:v>
      </x:c>
      <x:c r="B69" t="n">
        <x:v>142</x:v>
      </x:c>
      <x:c r="C69" t="inlineStr">
        <x:is>
          <x:t xml:space="preserve">Ba2Ca(BO3)2</x:t>
        </x:is>
      </x:c>
      <x:c r="D69" t="n">
        <x:v>0</x:v>
      </x:c>
      <x:c r="E69" t="n">
        <x:v>261</x:v>
      </x:c>
      <x:c r="F69" t="inlineStr">
        <x:is>
          <x:t xml:space="preserve">NaCaPO4</x:t>
        </x:is>
      </x:c>
      <x:c r="G69" t="n">
        <x:v>1</x:v>
      </x:c>
      <x:c r="H69" t="b">
        <x:v>0</x:v>
      </x:c>
      <x:c r="I69" t="n">
        <x:v>2.335505784006426</x:v>
      </x:c>
      <x:c r="J69" t="n">
        <x:v>0.7595213614287609</x:v>
      </x:c>
      <x:c r="K69" s="12" t="n">
        <x:f>ABS(VLOOKUP(C69,Benchmark_Properties!$A$2:$B$16,2,FALSE)-VLOOKUP(F69,Benchmark_Properties!$A$2:$B$16,2,FALSE))</x:f>
        <x:v>10</x:v>
      </x:c>
    </x:row>
    <x:row r="70">
      <x:c r="A70" t="n">
        <x:v>69</x:v>
      </x:c>
      <x:c r="B70" t="n">
        <x:v>17</x:v>
      </x:c>
      <x:c r="C70" t="inlineStr">
        <x:is>
          <x:t xml:space="preserve">SrAl2O4</x:t>
        </x:is>
      </x:c>
      <x:c r="D70" t="n">
        <x:v>0</x:v>
      </x:c>
      <x:c r="E70" t="n">
        <x:v>95</x:v>
      </x:c>
      <x:c r="F70" t="inlineStr">
        <x:is>
          <x:t xml:space="preserve">Na3YSi2O7</x:t>
        </x:is>
      </x:c>
      <x:c r="G70" t="n">
        <x:v>1</x:v>
      </x:c>
      <x:c r="H70" t="b">
        <x:v>0</x:v>
      </x:c>
      <x:c r="I70" t="n">
        <x:v>2.342368064834158</x:v>
      </x:c>
      <x:c r="J70" t="n">
        <x:v>0.7617530188763588</x:v>
      </x:c>
      <x:c r="K70" s="12" t="n">
        <x:f>ABS(VLOOKUP(C70,Benchmark_Properties!$A$2:$B$16,2,FALSE)-VLOOKUP(F70,Benchmark_Properties!$A$2:$B$16,2,FALSE))</x:f>
        <x:v>28</x:v>
      </x:c>
    </x:row>
    <x:row r="71">
      <x:c r="A71" t="n">
        <x:v>70</x:v>
      </x:c>
      <x:c r="B71" t="n">
        <x:v>14</x:v>
      </x:c>
      <x:c r="C71" t="inlineStr">
        <x:is>
          <x:t xml:space="preserve">K2RbNaLi12(SiO4)4</x:t>
        </x:is>
      </x:c>
      <x:c r="D71" t="n">
        <x:v>1</x:v>
      </x:c>
      <x:c r="E71" t="n">
        <x:v>261</x:v>
      </x:c>
      <x:c r="F71" t="inlineStr">
        <x:is>
          <x:t xml:space="preserve">NaCaPO4</x:t>
        </x:is>
      </x:c>
      <x:c r="G71" t="n">
        <x:v>1</x:v>
      </x:c>
      <x:c r="H71" t="b">
        <x:v>1</x:v>
      </x:c>
      <x:c r="I71" t="n">
        <x:v>2.365725012003105</x:v>
      </x:c>
      <x:c r="J71" t="n">
        <x:v>0.7693488469124367</x:v>
      </x:c>
      <x:c r="K71" s="12" t="n">
        <x:f>ABS(VLOOKUP(C71,Benchmark_Properties!$A$2:$B$16,2,FALSE)-VLOOKUP(F71,Benchmark_Properties!$A$2:$B$16,2,FALSE))</x:f>
        <x:v>14</x:v>
      </x:c>
    </x:row>
    <x:row r="72">
      <x:c r="A72" t="n">
        <x:v>71</x:v>
      </x:c>
      <x:c r="B72" t="n">
        <x:v>17</x:v>
      </x:c>
      <x:c r="C72" t="inlineStr">
        <x:is>
          <x:t xml:space="preserve">SrAl2O4</x:t>
        </x:is>
      </x:c>
      <x:c r="D72" t="n">
        <x:v>0</x:v>
      </x:c>
      <x:c r="E72" t="n">
        <x:v>199</x:v>
      </x:c>
      <x:c r="F72" t="inlineStr">
        <x:is>
          <x:t xml:space="preserve">Cs2BaP2O7</x:t>
        </x:is>
      </x:c>
      <x:c r="G72" t="n">
        <x:v>3</x:v>
      </x:c>
      <x:c r="H72" t="b">
        <x:v>0</x:v>
      </x:c>
      <x:c r="I72" t="n">
        <x:v>2.373342202289349</x:v>
      </x:c>
      <x:c r="J72" t="n">
        <x:v>0.7718260057257819</x:v>
      </x:c>
      <x:c r="K72" s="12" t="n">
        <x:f>ABS(VLOOKUP(C72,Benchmark_Properties!$A$2:$B$16,2,FALSE)-VLOOKUP(F72,Benchmark_Properties!$A$2:$B$16,2,FALSE))</x:f>
        <x:v>23</x:v>
      </x:c>
    </x:row>
    <x:row r="73">
      <x:c r="A73" t="n">
        <x:v>72</x:v>
      </x:c>
      <x:c r="B73" t="n">
        <x:v>153</x:v>
      </x:c>
      <x:c r="C73" t="inlineStr">
        <x:is>
          <x:t xml:space="preserve">Ba3Si6(NO6)2</x:t>
        </x:is>
      </x:c>
      <x:c r="D73" t="n">
        <x:v>0</x:v>
      </x:c>
      <x:c r="E73" t="n">
        <x:v>199</x:v>
      </x:c>
      <x:c r="F73" t="inlineStr">
        <x:is>
          <x:t xml:space="preserve">Cs2BaP2O7</x:t>
        </x:is>
      </x:c>
      <x:c r="G73" t="n">
        <x:v>3</x:v>
      </x:c>
      <x:c r="H73" t="b">
        <x:v>0</x:v>
      </x:c>
      <x:c r="I73" t="n">
        <x:v>2.379983095053708</x:v>
      </x:c>
      <x:c r="J73" t="n">
        <x:v>0.7739856663646159</x:v>
      </x:c>
      <x:c r="K73" s="12" t="n">
        <x:f>ABS(VLOOKUP(C73,Benchmark_Properties!$A$2:$B$16,2,FALSE)-VLOOKUP(F73,Benchmark_Properties!$A$2:$B$16,2,FALSE))</x:f>
        <x:v>32</x:v>
      </x:c>
    </x:row>
    <x:row r="74">
      <x:c r="A74" t="n">
        <x:v>73</x:v>
      </x:c>
      <x:c r="B74" t="n">
        <x:v>142</x:v>
      </x:c>
      <x:c r="C74" t="inlineStr">
        <x:is>
          <x:t xml:space="preserve">Ba2Ca(BO3)2</x:t>
        </x:is>
      </x:c>
      <x:c r="D74" t="n">
        <x:v>0</x:v>
      </x:c>
      <x:c r="E74" t="n">
        <x:v>171</x:v>
      </x:c>
      <x:c r="F74" t="inlineStr">
        <x:is>
          <x:t xml:space="preserve">BaLi2SiO4</x:t>
        </x:is>
      </x:c>
      <x:c r="G74" t="n">
        <x:v>1</x:v>
      </x:c>
      <x:c r="H74" t="b">
        <x:v>0</x:v>
      </x:c>
      <x:c r="I74" t="n">
        <x:v>2.380203013950501</x:v>
      </x:c>
      <x:c r="J74" t="n">
        <x:v>0.7740571853910471</x:v>
      </x:c>
      <x:c r="K74" s="12" t="n">
        <x:f>ABS(VLOOKUP(C74,Benchmark_Properties!$A$2:$B$16,2,FALSE)-VLOOKUP(F74,Benchmark_Properties!$A$2:$B$16,2,FALSE))</x:f>
        <x:v>14</x:v>
      </x:c>
    </x:row>
    <x:row r="75">
      <x:c r="A75" t="n">
        <x:v>74</x:v>
      </x:c>
      <x:c r="B75" t="n">
        <x:v>142</x:v>
      </x:c>
      <x:c r="C75" t="inlineStr">
        <x:is>
          <x:t xml:space="preserve">Ba2Ca(BO3)2</x:t>
        </x:is>
      </x:c>
      <x:c r="D75" t="n">
        <x:v>0</x:v>
      </x:c>
      <x:c r="E75" t="n">
        <x:v>157</x:v>
      </x:c>
      <x:c r="F75" t="inlineStr">
        <x:is>
          <x:t xml:space="preserve">BaNa(B3O5)3</x:t>
        </x:is>
      </x:c>
      <x:c r="G75" t="n">
        <x:v>1</x:v>
      </x:c>
      <x:c r="H75" t="b">
        <x:v>0</x:v>
      </x:c>
      <x:c r="I75" t="n">
        <x:v>2.383226206858856</x:v>
      </x:c>
      <x:c r="J75" t="n">
        <x:v>0.7750403469868519</x:v>
      </x:c>
      <x:c r="K75" s="12" t="n">
        <x:f>ABS(VLOOKUP(C75,Benchmark_Properties!$A$2:$B$16,2,FALSE)-VLOOKUP(F75,Benchmark_Properties!$A$2:$B$16,2,FALSE))</x:f>
        <x:v>14</x:v>
      </x:c>
    </x:row>
    <x:row r="76">
      <x:c r="A76" t="n">
        <x:v>75</x:v>
      </x:c>
      <x:c r="B76" t="n">
        <x:v>111</x:v>
      </x:c>
      <x:c r="C76" t="inlineStr">
        <x:is>
          <x:t xml:space="preserve">Ba2MgSi2O7</x:t>
        </x:is>
      </x:c>
      <x:c r="D76" t="n">
        <x:v>0</x:v>
      </x:c>
      <x:c r="E76" t="n">
        <x:v>157</x:v>
      </x:c>
      <x:c r="F76" t="inlineStr">
        <x:is>
          <x:t xml:space="preserve">BaNa(B3O5)3</x:t>
        </x:is>
      </x:c>
      <x:c r="G76" t="n">
        <x:v>1</x:v>
      </x:c>
      <x:c r="H76" t="b">
        <x:v>0</x:v>
      </x:c>
      <x:c r="I76" t="n">
        <x:v>2.401767266478514</x:v>
      </x:c>
      <x:c r="J76" t="n">
        <x:v>0.7810700177078967</x:v>
      </x:c>
      <x:c r="K76" s="12" t="n">
        <x:f>ABS(VLOOKUP(C76,Benchmark_Properties!$A$2:$B$16,2,FALSE)-VLOOKUP(F76,Benchmark_Properties!$A$2:$B$16,2,FALSE))</x:f>
        <x:v>14</x:v>
      </x:c>
    </x:row>
    <x:row r="77">
      <x:c r="A77" t="n">
        <x:v>76</x:v>
      </x:c>
      <x:c r="B77" t="n">
        <x:v>14</x:v>
      </x:c>
      <x:c r="C77" t="inlineStr">
        <x:is>
          <x:t xml:space="preserve">K2RbNaLi12(SiO4)4</x:t>
        </x:is>
      </x:c>
      <x:c r="D77" t="n">
        <x:v>1</x:v>
      </x:c>
      <x:c r="E77" t="n">
        <x:v>15</x:v>
      </x:c>
      <x:c r="F77" t="inlineStr">
        <x:is>
          <x:t xml:space="preserve">Rb2ZrSi2O7</x:t>
        </x:is>
      </x:c>
      <x:c r="G77" t="n">
        <x:v>1</x:v>
      </x:c>
      <x:c r="H77" t="b">
        <x:v>1</x:v>
      </x:c>
      <x:c r="I77" t="n">
        <x:v>2.414455637950046</x:v>
      </x:c>
      <x:c r="J77" t="n">
        <x:v>0.7851963569532828</x:v>
      </x:c>
      <x:c r="K77" s="12" t="n">
        <x:f>ABS(VLOOKUP(C77,Benchmark_Properties!$A$2:$B$16,2,FALSE)-VLOOKUP(F77,Benchmark_Properties!$A$2:$B$16,2,FALSE))</x:f>
        <x:v>40</x:v>
      </x:c>
    </x:row>
    <x:row r="78">
      <x:c r="A78" t="n">
        <x:v>77</x:v>
      </x:c>
      <x:c r="B78" t="n">
        <x:v>95</x:v>
      </x:c>
      <x:c r="C78" t="inlineStr">
        <x:is>
          <x:t xml:space="preserve">Na3YSi2O7</x:t>
        </x:is>
      </x:c>
      <x:c r="D78" t="n">
        <x:v>1</x:v>
      </x:c>
      <x:c r="E78" t="n">
        <x:v>111</x:v>
      </x:c>
      <x:c r="F78" t="inlineStr">
        <x:is>
          <x:t xml:space="preserve">Ba2MgSi2O7</x:t>
        </x:is>
      </x:c>
      <x:c r="G78" t="n">
        <x:v>0</x:v>
      </x:c>
      <x:c r="H78" t="b">
        <x:v>0</x:v>
      </x:c>
      <x:c r="I78" t="n">
        <x:v>2.426944136894539</x:v>
      </x:c>
      <x:c r="J78" t="n">
        <x:v>0.7892576963794055</x:v>
      </x:c>
      <x:c r="K78" s="12" t="n">
        <x:f>ABS(VLOOKUP(C78,Benchmark_Properties!$A$2:$B$16,2,FALSE)-VLOOKUP(F78,Benchmark_Properties!$A$2:$B$16,2,FALSE))</x:f>
        <x:v>30</x:v>
      </x:c>
    </x:row>
    <x:row r="79">
      <x:c r="A79" t="n">
        <x:v>78</x:v>
      </x:c>
      <x:c r="B79" t="n">
        <x:v>95</x:v>
      </x:c>
      <x:c r="C79" t="inlineStr">
        <x:is>
          <x:t xml:space="preserve">Na3YSi2O7</x:t>
        </x:is>
      </x:c>
      <x:c r="D79" t="n">
        <x:v>1</x:v>
      </x:c>
      <x:c r="E79" t="n">
        <x:v>157</x:v>
      </x:c>
      <x:c r="F79" t="inlineStr">
        <x:is>
          <x:t xml:space="preserve">BaNa(B3O5)3</x:t>
        </x:is>
      </x:c>
      <x:c r="G79" t="n">
        <x:v>1</x:v>
      </x:c>
      <x:c r="H79" t="b">
        <x:v>1</x:v>
      </x:c>
      <x:c r="I79" t="n">
        <x:v>2.444525338202612</x:v>
      </x:c>
      <x:c r="J79" t="n">
        <x:v>0.7949752150618702</x:v>
      </x:c>
      <x:c r="K79" s="12" t="n">
        <x:f>ABS(VLOOKUP(C79,Benchmark_Properties!$A$2:$B$16,2,FALSE)-VLOOKUP(F79,Benchmark_Properties!$A$2:$B$16,2,FALSE))</x:f>
        <x:v>44</x:v>
      </x:c>
    </x:row>
    <x:row r="80">
      <x:c r="A80" t="n">
        <x:v>79</x:v>
      </x:c>
      <x:c r="B80" t="n">
        <x:v>16</x:v>
      </x:c>
      <x:c r="C80" t="inlineStr">
        <x:is>
          <x:t xml:space="preserve">Sr2LiSiO4F</x:t>
        </x:is>
      </x:c>
      <x:c r="D80" t="n">
        <x:v>1</x:v>
      </x:c>
      <x:c r="E80" t="n">
        <x:v>157</x:v>
      </x:c>
      <x:c r="F80" t="inlineStr">
        <x:is>
          <x:t xml:space="preserve">BaNa(B3O5)3</x:t>
        </x:is>
      </x:c>
      <x:c r="G80" t="n">
        <x:v>1</x:v>
      </x:c>
      <x:c r="H80" t="b">
        <x:v>1</x:v>
      </x:c>
      <x:c r="I80" t="n">
        <x:v>2.444781971747143</x:v>
      </x:c>
      <x:c r="J80" t="n">
        <x:v>0.7950586739256695</x:v>
      </x:c>
      <x:c r="K80" s="12" t="n">
        <x:f>ABS(VLOOKUP(C80,Benchmark_Properties!$A$2:$B$16,2,FALSE)-VLOOKUP(F80,Benchmark_Properties!$A$2:$B$16,2,FALSE))</x:f>
        <x:v>39</x:v>
      </x:c>
    </x:row>
    <x:row r="81">
      <x:c r="A81" t="n">
        <x:v>80</x:v>
      </x:c>
      <x:c r="B81" t="n">
        <x:v>17</x:v>
      </x:c>
      <x:c r="C81" t="inlineStr">
        <x:is>
          <x:t xml:space="preserve">SrAl2O4</x:t>
        </x:is>
      </x:c>
      <x:c r="D81" t="n">
        <x:v>0</x:v>
      </x:c>
      <x:c r="E81" t="n">
        <x:v>171</x:v>
      </x:c>
      <x:c r="F81" t="inlineStr">
        <x:is>
          <x:t xml:space="preserve">BaLi2SiO4</x:t>
        </x:is>
      </x:c>
      <x:c r="G81" t="n">
        <x:v>1</x:v>
      </x:c>
      <x:c r="H81" t="b">
        <x:v>0</x:v>
      </x:c>
      <x:c r="I81" t="n">
        <x:v>2.461841203010749</x:v>
      </x:c>
      <x:c r="J81" t="n">
        <x:v>0.8006064446239872</x:v>
      </x:c>
      <x:c r="K81" s="12" t="n">
        <x:f>ABS(VLOOKUP(C81,Benchmark_Properties!$A$2:$B$16,2,FALSE)-VLOOKUP(F81,Benchmark_Properties!$A$2:$B$16,2,FALSE))</x:f>
        <x:v>16</x:v>
      </x:c>
    </x:row>
    <x:row r="82">
      <x:c r="A82" t="n">
        <x:v>81</x:v>
      </x:c>
      <x:c r="B82" t="n">
        <x:v>144</x:v>
      </x:c>
      <x:c r="C82" t="inlineStr">
        <x:is>
          <x:t xml:space="preserve">Ba2Mg(PO4)2</x:t>
        </x:is>
      </x:c>
      <x:c r="D82" t="n">
        <x:v>0</x:v>
      </x:c>
      <x:c r="E82" t="n">
        <x:v>171</x:v>
      </x:c>
      <x:c r="F82" t="inlineStr">
        <x:is>
          <x:t xml:space="preserve">BaLi2SiO4</x:t>
        </x:is>
      </x:c>
      <x:c r="G82" t="n">
        <x:v>1</x:v>
      </x:c>
      <x:c r="H82" t="b">
        <x:v>0</x:v>
      </x:c>
      <x:c r="I82" t="n">
        <x:v>2.473572396193042</x:v>
      </x:c>
      <x:c r="J82" t="n">
        <x:v>0.8044215033911355</x:v>
      </x:c>
      <x:c r="K82" s="12" t="n">
        <x:f>ABS(VLOOKUP(C82,Benchmark_Properties!$A$2:$B$16,2,FALSE)-VLOOKUP(F82,Benchmark_Properties!$A$2:$B$16,2,FALSE))</x:f>
        <x:v>59</x:v>
      </x:c>
    </x:row>
    <x:row r="83">
      <x:c r="A83" t="n">
        <x:v>82</x:v>
      </x:c>
      <x:c r="B83" t="n">
        <x:v>95</x:v>
      </x:c>
      <x:c r="C83" t="inlineStr">
        <x:is>
          <x:t xml:space="preserve">Na3YSi2O7</x:t>
        </x:is>
      </x:c>
      <x:c r="D83" t="n">
        <x:v>1</x:v>
      </x:c>
      <x:c r="E83" t="n">
        <x:v>180</x:v>
      </x:c>
      <x:c r="F83" t="inlineStr">
        <x:is>
          <x:t xml:space="preserve">Ba6Y2Al4O15</x:t>
        </x:is>
      </x:c>
      <x:c r="G83" t="n">
        <x:v>0</x:v>
      </x:c>
      <x:c r="H83" t="b">
        <x:v>0</x:v>
      </x:c>
      <x:c r="I83" t="n">
        <x:v>2.47914954096842</x:v>
      </x:c>
      <x:c r="J83" t="n">
        <x:v>0.8062352264063763</x:v>
      </x:c>
      <x:c r="K83" s="12" t="n">
        <x:f>ABS(VLOOKUP(C83,Benchmark_Properties!$A$2:$B$16,2,FALSE)-VLOOKUP(F83,Benchmark_Properties!$A$2:$B$16,2,FALSE))</x:f>
        <x:v>36</x:v>
      </x:c>
    </x:row>
    <x:row r="84">
      <x:c r="A84" t="n">
        <x:v>83</x:v>
      </x:c>
      <x:c r="B84" t="n">
        <x:v>14</x:v>
      </x:c>
      <x:c r="C84" t="inlineStr">
        <x:is>
          <x:t xml:space="preserve">K2RbNaLi12(SiO4)4</x:t>
        </x:is>
      </x:c>
      <x:c r="D84" t="n">
        <x:v>1</x:v>
      </x:c>
      <x:c r="E84" t="n">
        <x:v>199</x:v>
      </x:c>
      <x:c r="F84" t="inlineStr">
        <x:is>
          <x:t xml:space="preserve">Cs2BaP2O7</x:t>
        </x:is>
      </x:c>
      <x:c r="G84" t="n">
        <x:v>3</x:v>
      </x:c>
      <x:c r="H84" t="b">
        <x:v>0</x:v>
      </x:c>
      <x:c r="I84" t="n">
        <x:v>2.489788798094958</x:v>
      </x:c>
      <x:c r="J84" t="n">
        <x:v>0.8096951806110181</x:v>
      </x:c>
      <x:c r="K84" s="12" t="n">
        <x:f>ABS(VLOOKUP(C84,Benchmark_Properties!$A$2:$B$16,2,FALSE)-VLOOKUP(F84,Benchmark_Properties!$A$2:$B$16,2,FALSE))</x:f>
        <x:v>49</x:v>
      </x:c>
    </x:row>
    <x:row r="85">
      <x:c r="A85" t="n">
        <x:v>84</x:v>
      </x:c>
      <x:c r="B85" t="n">
        <x:v>95</x:v>
      </x:c>
      <x:c r="C85" t="inlineStr">
        <x:is>
          <x:t xml:space="preserve">Na3YSi2O7</x:t>
        </x:is>
      </x:c>
      <x:c r="D85" t="n">
        <x:v>1</x:v>
      </x:c>
      <x:c r="E85" t="n">
        <x:v>144</x:v>
      </x:c>
      <x:c r="F85" t="inlineStr">
        <x:is>
          <x:t xml:space="preserve">Ba2Mg(PO4)2</x:t>
        </x:is>
      </x:c>
      <x:c r="G85" t="n">
        <x:v>0</x:v>
      </x:c>
      <x:c r="H85" t="b">
        <x:v>0</x:v>
      </x:c>
      <x:c r="I85" t="n">
        <x:v>2.489808223925192</x:v>
      </x:c>
      <x:c r="J85" t="n">
        <x:v>0.8097014980147804</x:v>
      </x:c>
      <x:c r="K85" s="12" t="n">
        <x:f>ABS(VLOOKUP(C85,Benchmark_Properties!$A$2:$B$16,2,FALSE)-VLOOKUP(F85,Benchmark_Properties!$A$2:$B$16,2,FALSE))</x:f>
        <x:v>15</x:v>
      </x:c>
    </x:row>
    <x:row r="86">
      <x:c r="A86" t="n">
        <x:v>85</x:v>
      </x:c>
      <x:c r="B86" t="n">
        <x:v>17</x:v>
      </x:c>
      <x:c r="C86" t="inlineStr">
        <x:is>
          <x:t xml:space="preserve">SrAl2O4</x:t>
        </x:is>
      </x:c>
      <x:c r="D86" t="n">
        <x:v>0</x:v>
      </x:c>
      <x:c r="E86" t="n">
        <x:v>157</x:v>
      </x:c>
      <x:c r="F86" t="inlineStr">
        <x:is>
          <x:t xml:space="preserve">BaNa(B3O5)3</x:t>
        </x:is>
      </x:c>
      <x:c r="G86" t="n">
        <x:v>1</x:v>
      </x:c>
      <x:c r="H86" t="b">
        <x:v>0</x:v>
      </x:c>
      <x:c r="I86" t="n">
        <x:v>2.518034719528274</x:v>
      </x:c>
      <x:c r="J86" t="n">
        <x:v>0.818880934227539</x:v>
      </x:c>
      <x:c r="K86" s="12" t="n">
        <x:f>ABS(VLOOKUP(C86,Benchmark_Properties!$A$2:$B$16,2,FALSE)-VLOOKUP(F86,Benchmark_Properties!$A$2:$B$16,2,FALSE))</x:f>
        <x:v>16</x:v>
      </x:c>
    </x:row>
    <x:row r="87">
      <x:c r="A87" t="n">
        <x:v>86</x:v>
      </x:c>
      <x:c r="B87" t="n">
        <x:v>171</x:v>
      </x:c>
      <x:c r="C87" t="inlineStr">
        <x:is>
          <x:t xml:space="preserve">BaLi2SiO4</x:t>
        </x:is>
      </x:c>
      <x:c r="D87" t="n">
        <x:v>1</x:v>
      </x:c>
      <x:c r="E87" t="n">
        <x:v>180</x:v>
      </x:c>
      <x:c r="F87" t="inlineStr">
        <x:is>
          <x:t xml:space="preserve">Ba6Y2Al4O15</x:t>
        </x:is>
      </x:c>
      <x:c r="G87" t="n">
        <x:v>0</x:v>
      </x:c>
      <x:c r="H87" t="b">
        <x:v>0</x:v>
      </x:c>
      <x:c r="I87" t="n">
        <x:v>2.529860798567444</x:v>
      </x:c>
      <x:c r="J87" t="n">
        <x:v>0.8227268504799006</x:v>
      </x:c>
      <x:c r="K87" s="12" t="n">
        <x:f>ABS(VLOOKUP(C87,Benchmark_Properties!$A$2:$B$16,2,FALSE)-VLOOKUP(F87,Benchmark_Properties!$A$2:$B$16,2,FALSE))</x:f>
        <x:v>8</x:v>
      </x:c>
    </x:row>
    <x:row r="88">
      <x:c r="A88" t="n">
        <x:v>87</x:v>
      </x:c>
      <x:c r="B88" t="n">
        <x:v>95</x:v>
      </x:c>
      <x:c r="C88" t="inlineStr">
        <x:is>
          <x:t xml:space="preserve">Na3YSi2O7</x:t>
        </x:is>
      </x:c>
      <x:c r="D88" t="n">
        <x:v>1</x:v>
      </x:c>
      <x:c r="E88" t="n">
        <x:v>142</x:v>
      </x:c>
      <x:c r="F88" t="inlineStr">
        <x:is>
          <x:t xml:space="preserve">Ba2Ca(BO3)2</x:t>
        </x:is>
      </x:c>
      <x:c r="G88" t="n">
        <x:v>0</x:v>
      </x:c>
      <x:c r="H88" t="b">
        <x:v>0</x:v>
      </x:c>
      <x:c r="I88" t="n">
        <x:v>2.586004206478388</x:v>
      </x:c>
      <x:c r="J88" t="n">
        <x:v>0.8409850444453292</x:v>
      </x:c>
      <x:c r="K88" s="12" t="n">
        <x:f>ABS(VLOOKUP(C88,Benchmark_Properties!$A$2:$B$16,2,FALSE)-VLOOKUP(F88,Benchmark_Properties!$A$2:$B$16,2,FALSE))</x:f>
        <x:v>30</x:v>
      </x:c>
    </x:row>
    <x:row r="89">
      <x:c r="A89" t="n">
        <x:v>88</x:v>
      </x:c>
      <x:c r="B89" t="n">
        <x:v>144</x:v>
      </x:c>
      <x:c r="C89" t="inlineStr">
        <x:is>
          <x:t xml:space="preserve">Ba2Mg(PO4)2</x:t>
        </x:is>
      </x:c>
      <x:c r="D89" t="n">
        <x:v>0</x:v>
      </x:c>
      <x:c r="E89" t="n">
        <x:v>157</x:v>
      </x:c>
      <x:c r="F89" t="inlineStr">
        <x:is>
          <x:t xml:space="preserve">BaNa(B3O5)3</x:t>
        </x:is>
      </x:c>
      <x:c r="G89" t="n">
        <x:v>1</x:v>
      </x:c>
      <x:c r="H89" t="b">
        <x:v>0</x:v>
      </x:c>
      <x:c r="I89" t="n">
        <x:v>2.601692532079784</x:v>
      </x:c>
      <x:c r="J89" t="n">
        <x:v>0.8460869878876911</x:v>
      </x:c>
      <x:c r="K89" s="12" t="n">
        <x:f>ABS(VLOOKUP(C89,Benchmark_Properties!$A$2:$B$16,2,FALSE)-VLOOKUP(F89,Benchmark_Properties!$A$2:$B$16,2,FALSE))</x:f>
        <x:v>59</x:v>
      </x:c>
    </x:row>
    <x:row r="90">
      <x:c r="A90" t="n">
        <x:v>89</x:v>
      </x:c>
      <x:c r="B90" t="n">
        <x:v>157</x:v>
      </x:c>
      <x:c r="C90" t="inlineStr">
        <x:is>
          <x:t xml:space="preserve">BaNa(B3O5)3</x:t>
        </x:is>
      </x:c>
      <x:c r="D90" t="n">
        <x:v>1</x:v>
      </x:c>
      <x:c r="E90" t="n">
        <x:v>261</x:v>
      </x:c>
      <x:c r="F90" t="inlineStr">
        <x:is>
          <x:t xml:space="preserve">NaCaPO4</x:t>
        </x:is>
      </x:c>
      <x:c r="G90" t="n">
        <x:v>1</x:v>
      </x:c>
      <x:c r="H90" t="b">
        <x:v>1</x:v>
      </x:c>
      <x:c r="I90" t="n">
        <x:v>2.607249127426787</x:v>
      </x:c>
      <x:c r="J90" t="n">
        <x:v>0.8478940280978957</x:v>
      </x:c>
      <x:c r="K90" s="12" t="n">
        <x:f>ABS(VLOOKUP(C90,Benchmark_Properties!$A$2:$B$16,2,FALSE)-VLOOKUP(F90,Benchmark_Properties!$A$2:$B$16,2,FALSE))</x:f>
        <x:v>4</x:v>
      </x:c>
    </x:row>
    <x:row r="91">
      <x:c r="A91" t="n">
        <x:v>90</x:v>
      </x:c>
      <x:c r="B91" t="n">
        <x:v>142</x:v>
      </x:c>
      <x:c r="C91" t="inlineStr">
        <x:is>
          <x:t xml:space="preserve">Ba2Ca(BO3)2</x:t>
        </x:is>
      </x:c>
      <x:c r="D91" t="n">
        <x:v>0</x:v>
      </x:c>
      <x:c r="E91" t="n">
        <x:v>283</x:v>
      </x:c>
      <x:c r="F91" t="inlineStr">
        <x:is>
          <x:t xml:space="preserve">RbLi7(SiO4)2</x:t>
        </x:is>
      </x:c>
      <x:c r="G91" t="n">
        <x:v>1</x:v>
      </x:c>
      <x:c r="H91" t="b">
        <x:v>0</x:v>
      </x:c>
      <x:c r="I91" t="n">
        <x:v>2.634185521378227</x:v>
      </x:c>
      <x:c r="J91" t="n">
        <x:v>0.856653915033771</x:v>
      </x:c>
      <x:c r="K91" s="12" t="n">
        <x:f>ABS(VLOOKUP(C91,Benchmark_Properties!$A$2:$B$16,2,FALSE)-VLOOKUP(F91,Benchmark_Properties!$A$2:$B$16,2,FALSE))</x:f>
        <x:v>33</x:v>
      </x:c>
    </x:row>
    <x:row r="92">
      <x:c r="A92" t="n">
        <x:v>91</x:v>
      </x:c>
      <x:c r="B92" t="n">
        <x:v>111</x:v>
      </x:c>
      <x:c r="C92" t="inlineStr">
        <x:is>
          <x:t xml:space="preserve">Ba2MgSi2O7</x:t>
        </x:is>
      </x:c>
      <x:c r="D92" t="n">
        <x:v>0</x:v>
      </x:c>
      <x:c r="E92" t="n">
        <x:v>283</x:v>
      </x:c>
      <x:c r="F92" t="inlineStr">
        <x:is>
          <x:t xml:space="preserve">RbLi7(SiO4)2</x:t>
        </x:is>
      </x:c>
      <x:c r="G92" t="n">
        <x:v>1</x:v>
      </x:c>
      <x:c r="H92" t="b">
        <x:v>0</x:v>
      </x:c>
      <x:c r="I92" t="n">
        <x:v>2.668784364212635</x:v>
      </x:c>
      <x:c r="J92" t="n">
        <x:v>0.8679056791670072</x:v>
      </x:c>
      <x:c r="K92" s="12" t="n">
        <x:f>ABS(VLOOKUP(C92,Benchmark_Properties!$A$2:$B$16,2,FALSE)-VLOOKUP(F92,Benchmark_Properties!$A$2:$B$16,2,FALSE))</x:f>
        <x:v>33</x:v>
      </x:c>
    </x:row>
    <x:row r="93">
      <x:c r="A93" t="n">
        <x:v>92</x:v>
      </x:c>
      <x:c r="B93" t="n">
        <x:v>157</x:v>
      </x:c>
      <x:c r="C93" t="inlineStr">
        <x:is>
          <x:t xml:space="preserve">BaNa(B3O5)3</x:t>
        </x:is>
      </x:c>
      <x:c r="D93" t="n">
        <x:v>1</x:v>
      </x:c>
      <x:c r="E93" t="n">
        <x:v>283</x:v>
      </x:c>
      <x:c r="F93" t="inlineStr">
        <x:is>
          <x:t xml:space="preserve">RbLi7(SiO4)2</x:t>
        </x:is>
      </x:c>
      <x:c r="G93" t="n">
        <x:v>1</x:v>
      </x:c>
      <x:c r="H93" t="b">
        <x:v>1</x:v>
      </x:c>
      <x:c r="I93" t="n">
        <x:v>2.680706999208295</x:v>
      </x:c>
      <x:c r="J93" t="n">
        <x:v>0.871782996031617</x:v>
      </x:c>
      <x:c r="K93" s="12" t="n">
        <x:f>ABS(VLOOKUP(C93,Benchmark_Properties!$A$2:$B$16,2,FALSE)-VLOOKUP(F93,Benchmark_Properties!$A$2:$B$16,2,FALSE))</x:f>
        <x:v>19</x:v>
      </x:c>
    </x:row>
    <x:row r="94">
      <x:c r="A94" t="n">
        <x:v>93</x:v>
      </x:c>
      <x:c r="B94" t="n">
        <x:v>157</x:v>
      </x:c>
      <x:c r="C94" t="inlineStr">
        <x:is>
          <x:t xml:space="preserve">BaNa(B3O5)3</x:t>
        </x:is>
      </x:c>
      <x:c r="D94" t="n">
        <x:v>1</x:v>
      </x:c>
      <x:c r="E94" t="n">
        <x:v>199</x:v>
      </x:c>
      <x:c r="F94" t="inlineStr">
        <x:is>
          <x:t xml:space="preserve">Cs2BaP2O7</x:t>
        </x:is>
      </x:c>
      <x:c r="G94" t="n">
        <x:v>3</x:v>
      </x:c>
      <x:c r="H94" t="b">
        <x:v>0</x:v>
      </x:c>
      <x:c r="I94" t="n">
        <x:v>2.693891681920914</x:v>
      </x:c>
      <x:c r="J94" t="n">
        <x:v>0.8760707388548079</x:v>
      </x:c>
      <x:c r="K94" s="12" t="n">
        <x:f>ABS(VLOOKUP(C94,Benchmark_Properties!$A$2:$B$16,2,FALSE)-VLOOKUP(F94,Benchmark_Properties!$A$2:$B$16,2,FALSE))</x:f>
        <x:v>39</x:v>
      </x:c>
    </x:row>
    <x:row r="95">
      <x:c r="A95" t="n">
        <x:v>94</x:v>
      </x:c>
      <x:c r="B95" t="n">
        <x:v>144</x:v>
      </x:c>
      <x:c r="C95" t="inlineStr">
        <x:is>
          <x:t xml:space="preserve">Ba2Mg(PO4)2</x:t>
        </x:is>
      </x:c>
      <x:c r="D95" t="n">
        <x:v>0</x:v>
      </x:c>
      <x:c r="E95" t="n">
        <x:v>283</x:v>
      </x:c>
      <x:c r="F95" t="inlineStr">
        <x:is>
          <x:t xml:space="preserve">RbLi7(SiO4)2</x:t>
        </x:is>
      </x:c>
      <x:c r="G95" t="n">
        <x:v>1</x:v>
      </x:c>
      <x:c r="H95" t="b">
        <x:v>0</x:v>
      </x:c>
      <x:c r="I95" t="n">
        <x:v>2.714332611375992</x:v>
      </x:c>
      <x:c r="J95" t="n">
        <x:v>0.8827182593511852</x:v>
      </x:c>
      <x:c r="K95" s="12" t="n">
        <x:f>ABS(VLOOKUP(C95,Benchmark_Properties!$A$2:$B$16,2,FALSE)-VLOOKUP(F95,Benchmark_Properties!$A$2:$B$16,2,FALSE))</x:f>
        <x:v>78</x:v>
      </x:c>
    </x:row>
    <x:row r="96">
      <x:c r="A96" t="n">
        <x:v>95</x:v>
      </x:c>
      <x:c r="B96" t="n">
        <x:v>14</x:v>
      </x:c>
      <x:c r="C96" t="inlineStr">
        <x:is>
          <x:t xml:space="preserve">K2RbNaLi12(SiO4)4</x:t>
        </x:is>
      </x:c>
      <x:c r="D96" t="n">
        <x:v>1</x:v>
      </x:c>
      <x:c r="E96" t="n">
        <x:v>111</x:v>
      </x:c>
      <x:c r="F96" t="inlineStr">
        <x:is>
          <x:t xml:space="preserve">Ba2MgSi2O7</x:t>
        </x:is>
      </x:c>
      <x:c r="G96" t="n">
        <x:v>0</x:v>
      </x:c>
      <x:c r="H96" t="b">
        <x:v>0</x:v>
      </x:c>
      <x:c r="I96" t="n">
        <x:v>2.74312260834069</x:v>
      </x:c>
      <x:c r="J96" t="n">
        <x:v>0.8920809497970407</x:v>
      </x:c>
      <x:c r="K96" s="12" t="n">
        <x:f>ABS(VLOOKUP(C96,Benchmark_Properties!$A$2:$B$16,2,FALSE)-VLOOKUP(F96,Benchmark_Properties!$A$2:$B$16,2,FALSE))</x:f>
        <x:v>24</x:v>
      </x:c>
    </x:row>
    <x:row r="97">
      <x:c r="A97" t="n">
        <x:v>96</x:v>
      </x:c>
      <x:c r="B97" t="n">
        <x:v>157</x:v>
      </x:c>
      <x:c r="C97" t="inlineStr">
        <x:is>
          <x:t xml:space="preserve">BaNa(B3O5)3</x:t>
        </x:is>
      </x:c>
      <x:c r="D97" t="n">
        <x:v>1</x:v>
      </x:c>
      <x:c r="E97" t="n">
        <x:v>180</x:v>
      </x:c>
      <x:c r="F97" t="inlineStr">
        <x:is>
          <x:t xml:space="preserve">Ba6Y2Al4O15</x:t>
        </x:is>
      </x:c>
      <x:c r="G97" t="n">
        <x:v>0</x:v>
      </x:c>
      <x:c r="H97" t="b">
        <x:v>0</x:v>
      </x:c>
      <x:c r="I97" t="n">
        <x:v>2.757681048583712</x:v>
      </x:c>
      <x:c r="J97" t="n">
        <x:v>0.896815447321894</x:v>
      </x:c>
      <x:c r="K97" s="12" t="n">
        <x:f>ABS(VLOOKUP(C97,Benchmark_Properties!$A$2:$B$16,2,FALSE)-VLOOKUP(F97,Benchmark_Properties!$A$2:$B$16,2,FALSE))</x:f>
        <x:v>8</x:v>
      </x:c>
    </x:row>
    <x:row r="98">
      <x:c r="A98" t="n">
        <x:v>97</x:v>
      </x:c>
      <x:c r="B98" t="n">
        <x:v>17</x:v>
      </x:c>
      <x:c r="C98" t="inlineStr">
        <x:is>
          <x:t xml:space="preserve">SrAl2O4</x:t>
        </x:is>
      </x:c>
      <x:c r="D98" t="n">
        <x:v>0</x:v>
      </x:c>
      <x:c r="E98" t="n">
        <x:v>283</x:v>
      </x:c>
      <x:c r="F98" t="inlineStr">
        <x:is>
          <x:t xml:space="preserve">RbLi7(SiO4)2</x:t>
        </x:is>
      </x:c>
      <x:c r="G98" t="n">
        <x:v>1</x:v>
      </x:c>
      <x:c r="H98" t="b">
        <x:v>0</x:v>
      </x:c>
      <x:c r="I98" t="n">
        <x:v>2.76163960926684</x:v>
      </x:c>
      <x:c r="J98" t="n">
        <x:v>0.898102796477669</x:v>
      </x:c>
      <x:c r="K98" s="12" t="n">
        <x:f>ABS(VLOOKUP(C98,Benchmark_Properties!$A$2:$B$16,2,FALSE)-VLOOKUP(F98,Benchmark_Properties!$A$2:$B$16,2,FALSE))</x:f>
        <x:v>35</x:v>
      </x:c>
    </x:row>
    <x:row r="99">
      <x:c r="A99" t="n">
        <x:v>98</x:v>
      </x:c>
      <x:c r="B99" t="n">
        <x:v>14</x:v>
      </x:c>
      <x:c r="C99" t="inlineStr">
        <x:is>
          <x:t xml:space="preserve">K2RbNaLi12(SiO4)4</x:t>
        </x:is>
      </x:c>
      <x:c r="D99" t="n">
        <x:v>1</x:v>
      </x:c>
      <x:c r="E99" t="n">
        <x:v>17</x:v>
      </x:c>
      <x:c r="F99" t="inlineStr">
        <x:is>
          <x:t xml:space="preserve">SrAl2O4</x:t>
        </x:is>
      </x:c>
      <x:c r="G99" t="n">
        <x:v>0</x:v>
      </x:c>
      <x:c r="H99" t="b">
        <x:v>0</x:v>
      </x:c>
      <x:c r="I99" t="n">
        <x:v>2.857077946739883</x:v>
      </x:c>
      <x:c r="J99" t="n">
        <x:v>0.9291399519008832</x:v>
      </x:c>
      <x:c r="K99" s="12" t="n">
        <x:f>ABS(VLOOKUP(C99,Benchmark_Properties!$A$2:$B$16,2,FALSE)-VLOOKUP(F99,Benchmark_Properties!$A$2:$B$16,2,FALSE))</x:f>
        <x:v>26</x:v>
      </x:c>
    </x:row>
    <x:row r="100">
      <x:c r="A100" t="n">
        <x:v>99</x:v>
      </x:c>
      <x:c r="B100" t="n">
        <x:v>14</x:v>
      </x:c>
      <x:c r="C100" t="inlineStr">
        <x:is>
          <x:t xml:space="preserve">K2RbNaLi12(SiO4)4</x:t>
        </x:is>
      </x:c>
      <x:c r="D100" t="n">
        <x:v>1</x:v>
      </x:c>
      <x:c r="E100" t="n">
        <x:v>153</x:v>
      </x:c>
      <x:c r="F100" t="inlineStr">
        <x:is>
          <x:t xml:space="preserve">Ba3Si6(NO6)2</x:t>
        </x:is>
      </x:c>
      <x:c r="G100" t="n">
        <x:v>0</x:v>
      </x:c>
      <x:c r="H100" t="b">
        <x:v>0</x:v>
      </x:c>
      <x:c r="I100" t="n">
        <x:v>2.88884839561553</x:v>
      </x:c>
      <x:c r="J100" t="n">
        <x:v>0.9394719042978665</x:v>
      </x:c>
      <x:c r="K100" s="12" t="n">
        <x:f>ABS(VLOOKUP(C100,Benchmark_Properties!$A$2:$B$16,2,FALSE)-VLOOKUP(F100,Benchmark_Properties!$A$2:$B$16,2,FALSE))</x:f>
        <x:v>17</x:v>
      </x:c>
    </x:row>
    <x:row r="101">
      <x:c r="A101" t="n">
        <x:v>100</x:v>
      </x:c>
      <x:c r="B101" t="n">
        <x:v>180</x:v>
      </x:c>
      <x:c r="C101" t="inlineStr">
        <x:is>
          <x:t xml:space="preserve">Ba6Y2Al4O15</x:t>
        </x:is>
      </x:c>
      <x:c r="D101" t="n">
        <x:v>0</x:v>
      </x:c>
      <x:c r="E101" t="n">
        <x:v>283</x:v>
      </x:c>
      <x:c r="F101" t="inlineStr">
        <x:is>
          <x:t xml:space="preserve">RbLi7(SiO4)2</x:t>
        </x:is>
      </x:c>
      <x:c r="G101" t="n">
        <x:v>1</x:v>
      </x:c>
      <x:c r="H101" t="b">
        <x:v>0</x:v>
      </x:c>
      <x:c r="I101" t="n">
        <x:v>2.930765043786423</x:v>
      </x:c>
      <x:c r="J101" t="n">
        <x:v>0.9531034653512813</x:v>
      </x:c>
      <x:c r="K101" s="12" t="n">
        <x:f>ABS(VLOOKUP(C101,Benchmark_Properties!$A$2:$B$16,2,FALSE)-VLOOKUP(F101,Benchmark_Properties!$A$2:$B$16,2,FALSE))</x:f>
        <x:v>27</x:v>
      </x:c>
    </x:row>
    <x:row r="102">
      <x:c r="A102" t="n">
        <x:v>101</x:v>
      </x:c>
      <x:c r="B102" t="n">
        <x:v>153</x:v>
      </x:c>
      <x:c r="C102" t="inlineStr">
        <x:is>
          <x:t xml:space="preserve">Ba3Si6(NO6)2</x:t>
        </x:is>
      </x:c>
      <x:c r="D102" t="n">
        <x:v>0</x:v>
      </x:c>
      <x:c r="E102" t="n">
        <x:v>283</x:v>
      </x:c>
      <x:c r="F102" t="inlineStr">
        <x:is>
          <x:t xml:space="preserve">RbLi7(SiO4)2</x:t>
        </x:is>
      </x:c>
      <x:c r="G102" t="n">
        <x:v>1</x:v>
      </x:c>
      <x:c r="H102" t="b">
        <x:v>0</x:v>
      </x:c>
      <x:c r="I102" t="n">
        <x:v>2.967759437535486</x:v>
      </x:c>
      <x:c r="J102" t="n">
        <x:v>0.9651342779050056</x:v>
      </x:c>
      <x:c r="K102" s="12" t="n">
        <x:f>ABS(VLOOKUP(C102,Benchmark_Properties!$A$2:$B$16,2,FALSE)-VLOOKUP(F102,Benchmark_Properties!$A$2:$B$16,2,FALSE))</x:f>
        <x:v>26</x:v>
      </x:c>
    </x:row>
    <x:row r="103">
      <x:c r="A103" t="n">
        <x:v>102</x:v>
      </x:c>
      <x:c r="B103" t="n">
        <x:v>14</x:v>
      </x:c>
      <x:c r="C103" t="inlineStr">
        <x:is>
          <x:t xml:space="preserve">K2RbNaLi12(SiO4)4</x:t>
        </x:is>
      </x:c>
      <x:c r="D103" t="n">
        <x:v>1</x:v>
      </x:c>
      <x:c r="E103" t="n">
        <x:v>180</x:v>
      </x:c>
      <x:c r="F103" t="inlineStr">
        <x:is>
          <x:t xml:space="preserve">Ba6Y2Al4O15</x:t>
        </x:is>
      </x:c>
      <x:c r="G103" t="n">
        <x:v>0</x:v>
      </x:c>
      <x:c r="H103" t="b">
        <x:v>0</x:v>
      </x:c>
      <x:c r="I103" t="n">
        <x:v>2.970586548159546</x:v>
      </x:c>
      <x:c r="J103" t="n">
        <x:v>0.9660536722926369</x:v>
      </x:c>
      <x:c r="K103" s="12" t="n">
        <x:f>ABS(VLOOKUP(C103,Benchmark_Properties!$A$2:$B$16,2,FALSE)-VLOOKUP(F103,Benchmark_Properties!$A$2:$B$16,2,FALSE))</x:f>
        <x:v>18</x:v>
      </x:c>
    </x:row>
    <x:row r="104">
      <x:c r="A104" t="n">
        <x:v>103</x:v>
      </x:c>
      <x:c r="B104" t="n">
        <x:v>14</x:v>
      </x:c>
      <x:c r="C104" t="inlineStr">
        <x:is>
          <x:t xml:space="preserve">K2RbNaLi12(SiO4)4</x:t>
        </x:is>
      </x:c>
      <x:c r="D104" t="n">
        <x:v>1</x:v>
      </x:c>
      <x:c r="E104" t="n">
        <x:v>157</x:v>
      </x:c>
      <x:c r="F104" t="inlineStr">
        <x:is>
          <x:t xml:space="preserve">BaNa(B3O5)3</x:t>
        </x:is>
      </x:c>
      <x:c r="G104" t="n">
        <x:v>1</x:v>
      </x:c>
      <x:c r="H104" t="b">
        <x:v>1</x:v>
      </x:c>
      <x:c r="I104" t="n">
        <x:v>2.976791672547009</x:v>
      </x:c>
      <x:c r="J104" t="n">
        <x:v>0.9680716182788447</x:v>
      </x:c>
      <x:c r="K104" s="12" t="n">
        <x:f>ABS(VLOOKUP(C104,Benchmark_Properties!$A$2:$B$16,2,FALSE)-VLOOKUP(F104,Benchmark_Properties!$A$2:$B$16,2,FALSE))</x:f>
        <x:v>10</x:v>
      </x:c>
    </x:row>
    <x:row r="105">
      <x:c r="A105" t="n">
        <x:v>104</x:v>
      </x:c>
      <x:c r="B105" t="n">
        <x:v>14</x:v>
      </x:c>
      <x:c r="C105" t="inlineStr">
        <x:is>
          <x:t xml:space="preserve">K2RbNaLi12(SiO4)4</x:t>
        </x:is>
      </x:c>
      <x:c r="D105" t="n">
        <x:v>1</x:v>
      </x:c>
      <x:c r="E105" t="n">
        <x:v>142</x:v>
      </x:c>
      <x:c r="F105" t="inlineStr">
        <x:is>
          <x:t xml:space="preserve">Ba2Ca(BO3)2</x:t>
        </x:is>
      </x:c>
      <x:c r="G105" t="n">
        <x:v>0</x:v>
      </x:c>
      <x:c r="H105" t="b">
        <x:v>0</x:v>
      </x:c>
      <x:c r="I105" t="n">
        <x:v>3.019452867856774</x:v>
      </x:c>
      <x:c r="J105" t="n">
        <x:v>0.9819453108056372</x:v>
      </x:c>
      <x:c r="K105" s="12" t="n">
        <x:f>ABS(VLOOKUP(C105,Benchmark_Properties!$A$2:$B$16,2,FALSE)-VLOOKUP(F105,Benchmark_Properties!$A$2:$B$16,2,FALSE))</x:f>
        <x:v>24</x:v>
      </x:c>
    </x:row>
    <x:row r="106">
      <x:c r="A106" t="n">
        <x:v>105</x:v>
      </x:c>
      <x:c r="B106" t="n">
        <x:v>14</x:v>
      </x:c>
      <x:c r="C106" t="inlineStr">
        <x:is>
          <x:t xml:space="preserve">K2RbNaLi12(SiO4)4</x:t>
        </x:is>
      </x:c>
      <x:c r="D106" t="n">
        <x:v>1</x:v>
      </x:c>
      <x:c r="E106" t="n">
        <x:v>144</x:v>
      </x:c>
      <x:c r="F106" t="inlineStr">
        <x:is>
          <x:t xml:space="preserve">Ba2Mg(PO4)2</x:t>
        </x:is>
      </x:c>
      <x:c r="G106" t="n">
        <x:v>0</x:v>
      </x:c>
      <x:c r="H106" t="b">
        <x:v>0</x:v>
      </x:c>
      <x:c r="I106" t="n">
        <x:v>3.074970504599144</x:v>
      </x:c>
      <x:c r="J106" t="n">
        <x:v>1</x:v>
      </x:c>
      <x:c r="K106" s="12" t="n">
        <x:f>ABS(VLOOKUP(C106,Benchmark_Properties!$A$2:$B$16,2,FALSE)-VLOOKUP(F106,Benchmark_Properties!$A$2:$B$16,2,FALSE))</x:f>
        <x:v>69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Number</x:t>
        </x:is>
      </x:c>
      <x:c r="B1" s="1" t="inlineStr">
        <x:is>
          <x:t xml:space="preserve">Composition</x:t>
        </x:is>
      </x:c>
      <x:c r="C1" s="1" t="inlineStr">
        <x:is>
          <x:t xml:space="preserve">Cluster</x:t>
        </x:is>
      </x:c>
      <x:c r="D1" s="1" t="inlineStr">
        <x:is>
          <x:t xml:space="preserve">PC1</x:t>
        </x:is>
      </x:c>
      <x:c r="E1" s="1" t="inlineStr">
        <x:is>
          <x:t xml:space="preserve">PC2</x:t>
        </x:is>
      </x:c>
      <x:c r="F1" s="1" t="inlineStr">
        <x:is>
          <x:t xml:space="preserve">PC3</x:t>
        </x:is>
      </x:c>
      <x:c r="G1" s="1" t="inlineStr">
        <x:is>
          <x:t xml:space="preserve">PC4</x:t>
        </x:is>
      </x:c>
      <x:c r="H1" s="1" t="inlineStr">
        <x:is>
          <x:t xml:space="preserve">PC5</x:t>
        </x:is>
      </x:c>
      <x:c r="I1" s="1" t="inlineStr">
        <x:is>
          <x:t xml:space="preserve">PC6</x:t>
        </x:is>
      </x:c>
      <x:c r="J1" s="1" t="inlineStr">
        <x:is>
          <x:t xml:space="preserve">PC7</x:t>
        </x:is>
      </x:c>
      <x:c r="K1" s="1" t="inlineStr">
        <x:is>
          <x:t xml:space="preserve">PC8</x:t>
        </x:is>
      </x:c>
      <x:c r="L1" s="1" t="inlineStr">
        <x:is>
          <x:t xml:space="preserve">PC9</x:t>
        </x:is>
      </x:c>
      <x:c r="M1" s="1" t="inlineStr">
        <x:is>
          <x:t xml:space="preserve">PC10</x:t>
        </x:is>
      </x:c>
      <x:c r="N1" s="1" t="inlineStr">
        <x:is>
          <x:t xml:space="preserve">PC11</x:t>
        </x:is>
      </x:c>
      <x:c r="O1" s="1" t="inlineStr">
        <x:is>
          <x:t xml:space="preserve">PC12</x:t>
        </x:is>
      </x:c>
      <x:c r="P1" s="1" t="inlineStr">
        <x:is>
          <x:t xml:space="preserve">PC13</x:t>
        </x:is>
      </x:c>
      <x:c r="Q1" s="1" t="inlineStr">
        <x:is>
          <x:t xml:space="preserve">PC14</x:t>
        </x:is>
      </x:c>
      <x:c r="R1" s="1" t="inlineStr">
        <x:is>
          <x:t xml:space="preserve">PC15</x:t>
        </x:is>
      </x:c>
      <x:c r="S1" s="1" t="inlineStr">
        <x:is>
          <x:t xml:space="preserve">PC16</x:t>
        </x:is>
      </x:c>
      <x:c r="T1" s="1" t="inlineStr">
        <x:is>
          <x:t xml:space="preserve">PC17</x:t>
        </x:is>
      </x:c>
      <x:c r="U1" s="1" t="inlineStr">
        <x:is>
          <x:t xml:space="preserve">PC18</x:t>
        </x:is>
      </x:c>
      <x:c r="V1" s="1" t="inlineStr">
        <x:is>
          <x:t xml:space="preserve">PC19</x:t>
        </x:is>
      </x:c>
      <x:c r="W1" s="1" t="inlineStr">
        <x:is>
          <x:t xml:space="preserve">PC20</x:t>
        </x:is>
      </x:c>
      <x:c r="X1" s="1" t="inlineStr">
        <x:is>
          <x:t xml:space="preserve">PC21</x:t>
        </x:is>
      </x:c>
      <x:c r="Y1" s="1" t="inlineStr">
        <x:is>
          <x:t xml:space="preserve">PC22</x:t>
        </x:is>
      </x:c>
      <x:c r="Z1" s="1" t="inlineStr">
        <x:is>
          <x:t xml:space="preserve">PC23</x:t>
        </x:is>
      </x:c>
      <x:c r="AA1" s="1" t="inlineStr">
        <x:is>
          <x:t xml:space="preserve">PC24</x:t>
        </x:is>
      </x:c>
      <x:c r="AB1" s="1" t="inlineStr">
        <x:is>
          <x:t xml:space="preserve">PC25</x:t>
        </x:is>
      </x:c>
      <x:c r="AC1" s="1" t="inlineStr">
        <x:is>
          <x:t xml:space="preserve">PC26</x:t>
        </x:is>
      </x:c>
      <x:c r="AD1" s="1" t="inlineStr">
        <x:is>
          <x:t xml:space="preserve">PC27</x:t>
        </x:is>
      </x:c>
      <x:c r="AE1" s="1" t="inlineStr">
        <x:is>
          <x:t xml:space="preserve">PC28</x:t>
        </x:is>
      </x:c>
      <x:c r="AF1" s="1" t="inlineStr">
        <x:is>
          <x:t xml:space="preserve">PC29</x:t>
        </x:is>
      </x:c>
      <x:c r="AG1" s="1" t="inlineStr">
        <x:is>
          <x:t xml:space="preserve">PC30</x:t>
        </x:is>
      </x:c>
      <x:c r="AH1" s="1" t="inlineStr">
        <x:is>
          <x:t xml:space="preserve">PC31</x:t>
        </x:is>
      </x:c>
      <x:c r="AI1" s="1" t="inlineStr">
        <x:is>
          <x:t xml:space="preserve">PC32</x:t>
        </x:is>
      </x:c>
      <x:c r="AJ1" s="1" t="inlineStr">
        <x:is>
          <x:t xml:space="preserve">PC33</x:t>
        </x:is>
      </x:c>
      <x:c r="AK1" s="1" t="inlineStr">
        <x:is>
          <x:t xml:space="preserve">PC34</x:t>
        </x:is>
      </x:c>
    </x:row>
    <x:row r="2">
      <x:c r="A2" t="n">
        <x:v>14</x:v>
      </x:c>
      <x:c r="B2" t="inlineStr">
        <x:is>
          <x:t xml:space="preserve">K2RbNaLi12(SiO4)4</x:t>
        </x:is>
      </x:c>
      <x:c r="C2" t="n">
        <x:v>1</x:v>
      </x:c>
      <x:c r="D2" t="n">
        <x:v>1.365911055908247</x:v>
      </x:c>
      <x:c r="E2" t="n">
        <x:v>0.4377117706287606</x:v>
      </x:c>
      <x:c r="F2" t="n">
        <x:v>0.1376165614741406</x:v>
      </x:c>
      <x:c r="G2" t="n">
        <x:v>0.2780811019349547</x:v>
      </x:c>
      <x:c r="H2" t="n">
        <x:v>0.3226356001805955</x:v>
      </x:c>
      <x:c r="I2" t="n">
        <x:v>0.2228076372005674</x:v>
      </x:c>
      <x:c r="J2" t="n">
        <x:v>-0.1847504431677363</x:v>
      </x:c>
      <x:c r="K2" t="n">
        <x:v>-0.3358045993938201</x:v>
      </x:c>
      <x:c r="L2" t="n">
        <x:v>0.3684504376200729</x:v>
      </x:c>
      <x:c r="M2" t="n">
        <x:v>0.1959928664820905</x:v>
      </x:c>
      <x:c r="N2" t="n">
        <x:v>-0.09534695261392988</x:v>
      </x:c>
      <x:c r="O2" t="n">
        <x:v>0.3185936664605323</x:v>
      </x:c>
      <x:c r="P2" t="n">
        <x:v>0.6279722776835235</x:v>
      </x:c>
      <x:c r="Q2" t="n">
        <x:v>0.2900935505419309</x:v>
      </x:c>
      <x:c r="R2" t="n">
        <x:v>-0.1417086341408421</x:v>
      </x:c>
      <x:c r="S2" t="n">
        <x:v>-0.04571827568005239</x:v>
      </x:c>
      <x:c r="T2" t="n">
        <x:v>0.5016436274267587</x:v>
      </x:c>
      <x:c r="U2" t="n">
        <x:v>-0.5706570691827618</x:v>
      </x:c>
      <x:c r="V2" t="n">
        <x:v>0.1875273406029759</x:v>
      </x:c>
      <x:c r="W2" t="n">
        <x:v>0.1668512776408806</x:v>
      </x:c>
      <x:c r="X2" t="n">
        <x:v>-0.2487059615845635</x:v>
      </x:c>
      <x:c r="Y2" t="n">
        <x:v>0.1172203117184111</x:v>
      </x:c>
      <x:c r="Z2" t="n">
        <x:v>-0.1530285516888476</x:v>
      </x:c>
      <x:c r="AA2" t="n">
        <x:v>-0.06142136436483611</x:v>
      </x:c>
      <x:c r="AB2" t="n">
        <x:v>-0.3234347501370962</x:v>
      </x:c>
      <x:c r="AC2" t="n">
        <x:v>0.3445704267327465</x:v>
      </x:c>
      <x:c r="AD2" t="n">
        <x:v>0.04588341021107545</x:v>
      </x:c>
      <x:c r="AE2" t="n">
        <x:v>0.09789601118519518</x:v>
      </x:c>
      <x:c r="AF2" t="n">
        <x:v>0.445687954551268</x:v>
      </x:c>
      <x:c r="AG2" t="n">
        <x:v>-0.1878356043230328</x:v>
      </x:c>
      <x:c r="AH2" t="n">
        <x:v>-0.05932548047118471</x:v>
      </x:c>
      <x:c r="AI2" t="n">
        <x:v>-0.0122904145795155</x:v>
      </x:c>
      <x:c r="AJ2" t="n">
        <x:v>-0.04106693060834184</x:v>
      </x:c>
      <x:c r="AK2" t="n">
        <x:v>0.1806769198173703</x:v>
      </x:c>
    </x:row>
    <x:row r="3">
      <x:c r="A3" t="n">
        <x:v>15</x:v>
      </x:c>
      <x:c r="B3" t="inlineStr">
        <x:is>
          <x:t xml:space="preserve">Rb2ZrSi2O7</x:t>
        </x:is>
      </x:c>
      <x:c r="C3" t="n">
        <x:v>1</x:v>
      </x:c>
      <x:c r="D3" t="n">
        <x:v>0.4780894286392334</x:v>
      </x:c>
      <x:c r="E3" t="n">
        <x:v>0.1231157631963132</x:v>
      </x:c>
      <x:c r="F3" t="n">
        <x:v>0.4510605339058873</x:v>
      </x:c>
      <x:c r="G3" t="n">
        <x:v>-0.2319014017338071</x:v>
      </x:c>
      <x:c r="H3" t="n">
        <x:v>-0.1207776723834116</x:v>
      </x:c>
      <x:c r="I3" t="n">
        <x:v>-0.1453208797485396</x:v>
      </x:c>
      <x:c r="J3" t="n">
        <x:v>0.06392940104642945</x:v>
      </x:c>
      <x:c r="K3" t="n">
        <x:v>0.5783642903519114</x:v>
      </x:c>
      <x:c r="L3" t="n">
        <x:v>-0.107640464753502</x:v>
      </x:c>
      <x:c r="M3" t="n">
        <x:v>0.06318799160651586</x:v>
      </x:c>
      <x:c r="N3" t="n">
        <x:v>0.07679479373673842</x:v>
      </x:c>
      <x:c r="O3" t="n">
        <x:v>-0.1606481123385518</x:v>
      </x:c>
      <x:c r="P3" t="n">
        <x:v>0.08696808523238217</x:v>
      </x:c>
      <x:c r="Q3" t="n">
        <x:v>0.08212394725573274</x:v>
      </x:c>
      <x:c r="R3" t="n">
        <x:v>0.1081931651769373</x:v>
      </x:c>
      <x:c r="S3" t="n">
        <x:v>-0.02656621691658275</x:v>
      </x:c>
      <x:c r="T3" t="n">
        <x:v>-0.001258176081811091</x:v>
      </x:c>
      <x:c r="U3" t="n">
        <x:v>0.2798658009245371</x:v>
      </x:c>
      <x:c r="V3" t="n">
        <x:v>-0.1360452666771066</x:v>
      </x:c>
      <x:c r="W3" t="n">
        <x:v>-0.3484021036174218</x:v>
      </x:c>
      <x:c r="X3" t="n">
        <x:v>-0.1656337509670032</x:v>
      </x:c>
      <x:c r="Y3" t="n">
        <x:v>0.2861737443521098</x:v>
      </x:c>
      <x:c r="Z3" t="n">
        <x:v>0.4039884333158735</x:v>
      </x:c>
      <x:c r="AA3" t="n">
        <x:v>0.02296568813355248</x:v>
      </x:c>
      <x:c r="AB3" t="n">
        <x:v>0.09480892156765967</x:v>
      </x:c>
      <x:c r="AC3" t="n">
        <x:v>0.01929597910614946</x:v>
      </x:c>
      <x:c r="AD3" t="n">
        <x:v>0.5140317248251061</x:v>
      </x:c>
      <x:c r="AE3" t="n">
        <x:v>0.09250760651523662</x:v>
      </x:c>
      <x:c r="AF3" t="n">
        <x:v>0.04902856253592114</x:v>
      </x:c>
      <x:c r="AG3" t="n">
        <x:v>0.0178037285428661</x:v>
      </x:c>
      <x:c r="AH3" t="n">
        <x:v>0.06738527689721766</x:v>
      </x:c>
      <x:c r="AI3" t="n">
        <x:v>-0.09765240616424525</x:v>
      </x:c>
      <x:c r="AJ3" t="n">
        <x:v>0.02823548904032561</x:v>
      </x:c>
      <x:c r="AK3" t="n">
        <x:v>0.02251778471452637</x:v>
      </x:c>
    </x:row>
    <x:row r="4">
      <x:c r="A4" t="n">
        <x:v>16</x:v>
      </x:c>
      <x:c r="B4" t="inlineStr">
        <x:is>
          <x:t xml:space="preserve">Sr2LiSiO4F</x:t>
        </x:is>
      </x:c>
      <x:c r="C4" t="n">
        <x:v>1</x:v>
      </x:c>
      <x:c r="D4" t="n">
        <x:v>0.6573279680694906</x:v>
      </x:c>
      <x:c r="E4" t="n">
        <x:v>0.1311531527482408</x:v>
      </x:c>
      <x:c r="F4" t="n">
        <x:v>0.2810647312930387</x:v>
      </x:c>
      <x:c r="G4" t="n">
        <x:v>0.06495075931777931</x:v>
      </x:c>
      <x:c r="H4" t="n">
        <x:v>-0.06526783450071057</x:v>
      </x:c>
      <x:c r="I4" t="n">
        <x:v>-0.3031587648985766</x:v>
      </x:c>
      <x:c r="J4" t="n">
        <x:v>-0.4765781535453125</x:v>
      </x:c>
      <x:c r="K4" t="n">
        <x:v>-0.2261988050297102</x:v>
      </x:c>
      <x:c r="L4" t="n">
        <x:v>-0.1385493701464086</x:v>
      </x:c>
      <x:c r="M4" t="n">
        <x:v>-0.5237802850343052</x:v>
      </x:c>
      <x:c r="N4" t="n">
        <x:v>0.1820121739728829</x:v>
      </x:c>
      <x:c r="O4" t="n">
        <x:v>-0.3079687940842764</x:v>
      </x:c>
      <x:c r="P4" t="n">
        <x:v>-0.06851959203599407</x:v>
      </x:c>
      <x:c r="Q4" t="n">
        <x:v>0.1195956465026743</x:v>
      </x:c>
      <x:c r="R4" t="n">
        <x:v>-0.1181361152008237</x:v>
      </x:c>
      <x:c r="S4" t="n">
        <x:v>0.2438406548372745</x:v>
      </x:c>
      <x:c r="T4" t="n">
        <x:v>0.3622071406440158</x:v>
      </x:c>
      <x:c r="U4" t="n">
        <x:v>-0.04061162426888132</x:v>
      </x:c>
      <x:c r="V4" t="n">
        <x:v>0.176157780485016</x:v>
      </x:c>
      <x:c r="W4" t="n">
        <x:v>-0.1140035437324626</x:v>
      </x:c>
      <x:c r="X4" t="n">
        <x:v>0.1212637129520539</x:v>
      </x:c>
      <x:c r="Y4" t="n">
        <x:v>-0.0008966554292173704</x:v>
      </x:c>
      <x:c r="Z4" t="n">
        <x:v>-0.1676027502925419</x:v>
      </x:c>
      <x:c r="AA4" t="n">
        <x:v>0.2473600202638029</x:v>
      </x:c>
      <x:c r="AB4" t="n">
        <x:v>-0.1545430101437842</x:v>
      </x:c>
      <x:c r="AC4" t="n">
        <x:v>0.007758414214216019</x:v>
      </x:c>
      <x:c r="AD4" t="n">
        <x:v>-0.1174860774874882</x:v>
      </x:c>
      <x:c r="AE4" t="n">
        <x:v>0.2093474831590637</x:v>
      </x:c>
      <x:c r="AF4" t="n">
        <x:v>0.06541297336798446</x:v>
      </x:c>
      <x:c r="AG4" t="n">
        <x:v>-0.01383793513027508</x:v>
      </x:c>
      <x:c r="AH4" t="n">
        <x:v>-0.04476541177850674</x:v>
      </x:c>
      <x:c r="AI4" t="n">
        <x:v>0.07242674500152284</x:v>
      </x:c>
      <x:c r="AJ4" t="n">
        <x:v>0.03300058124048507</x:v>
      </x:c>
      <x:c r="AK4" t="n">
        <x:v>-0.02198971974072263</x:v>
      </x:c>
    </x:row>
    <x:row r="5">
      <x:c r="A5" t="n">
        <x:v>17</x:v>
      </x:c>
      <x:c r="B5" t="inlineStr">
        <x:is>
          <x:t xml:space="preserve">SrAl2O4</x:t>
        </x:is>
      </x:c>
      <x:c r="C5" t="n">
        <x:v>0</x:v>
      </x:c>
      <x:c r="D5" t="n">
        <x:v>-0.7219958379717911</x:v>
      </x:c>
      <x:c r="E5" t="n">
        <x:v>0.3283311343335572</x:v>
      </x:c>
      <x:c r="F5" t="n">
        <x:v>0.04400841322928974</x:v>
      </x:c>
      <x:c r="G5" t="n">
        <x:v>0.1355723645343941</x:v>
      </x:c>
      <x:c r="H5" t="n">
        <x:v>-0.442156983745349</x:v>
      </x:c>
      <x:c r="I5" t="n">
        <x:v>-0.02939756148800305</x:v>
      </x:c>
      <x:c r="J5" t="n">
        <x:v>-0.163927063285151</x:v>
      </x:c>
      <x:c r="K5" t="n">
        <x:v>0.08272747773571426</x:v>
      </x:c>
      <x:c r="L5" t="n">
        <x:v>-0.2393936181719512</x:v>
      </x:c>
      <x:c r="M5" t="n">
        <x:v>0.2544696254401482</x:v>
      </x:c>
      <x:c r="N5" t="n">
        <x:v>-0.214553362176526</x:v>
      </x:c>
      <x:c r="O5" t="n">
        <x:v>0.02074230994630235</x:v>
      </x:c>
      <x:c r="P5" t="n">
        <x:v>0.3645510135982316</x:v>
      </x:c>
      <x:c r="Q5" t="n">
        <x:v>0.21892661017322</x:v>
      </x:c>
      <x:c r="R5" t="n">
        <x:v>0.1724520978985922</x:v>
      </x:c>
      <x:c r="S5" t="n">
        <x:v>0.242122901031229</x:v>
      </x:c>
      <x:c r="T5" t="n">
        <x:v>-0.3768028928174582</x:v>
      </x:c>
      <x:c r="U5" t="n">
        <x:v>0.03753327789754194</x:v>
      </x:c>
      <x:c r="V5" t="n">
        <x:v>0.01680990164691763</x:v>
      </x:c>
      <x:c r="W5" t="n">
        <x:v>-0.1795349347409785</x:v>
      </x:c>
      <x:c r="X5" t="n">
        <x:v>-0.1254884710400782</x:v>
      </x:c>
      <x:c r="Y5" t="n">
        <x:v>-0.04039578734617578</x:v>
      </x:c>
      <x:c r="Z5" t="n">
        <x:v>0.2468201030425142</x:v>
      </x:c>
      <x:c r="AA5" t="n">
        <x:v>-0.01488898049217853</x:v>
      </x:c>
      <x:c r="AB5" t="n">
        <x:v>-0.341036724994393</x:v>
      </x:c>
      <x:c r="AC5" t="n">
        <x:v>-0.07068402405083651</x:v>
      </x:c>
      <x:c r="AD5" t="n">
        <x:v>-0.01060805034577414</x:v>
      </x:c>
      <x:c r="AE5" t="n">
        <x:v>-0.04767758110199687</x:v>
      </x:c>
      <x:c r="AF5" t="n">
        <x:v>-0.2087482408919567</x:v>
      </x:c>
      <x:c r="AG5" t="n">
        <x:v>-0.001056827587293353</x:v>
      </x:c>
      <x:c r="AH5" t="n">
        <x:v>0.07108311403329852</x:v>
      </x:c>
      <x:c r="AI5" t="n">
        <x:v>-0.1425806441620584</x:v>
      </x:c>
      <x:c r="AJ5" t="n">
        <x:v>0.09543504586653301</x:v>
      </x:c>
      <x:c r="AK5" t="n">
        <x:v>0.1509550927872721</x:v>
      </x:c>
    </x:row>
    <x:row r="6">
      <x:c r="A6" t="n">
        <x:v>95</x:v>
      </x:c>
      <x:c r="B6" t="inlineStr">
        <x:is>
          <x:t xml:space="preserve">Na3YSi2O7</x:t>
        </x:is>
      </x:c>
      <x:c r="C6" t="n">
        <x:v>1</x:v>
      </x:c>
      <x:c r="D6" t="n">
        <x:v>0.6327129482559477</x:v>
      </x:c>
      <x:c r="E6" t="n">
        <x:v>0.3106436766166636</x:v>
      </x:c>
      <x:c r="F6" t="n">
        <x:v>-0.231327443910417</x:v>
      </x:c>
      <x:c r="G6" t="n">
        <x:v>0.4881460596130495</x:v>
      </x:c>
      <x:c r="H6" t="n">
        <x:v>0.6510496545700906</x:v>
      </x:c>
      <x:c r="I6" t="n">
        <x:v>-0.0434941479655231</x:v>
      </x:c>
      <x:c r="J6" t="n">
        <x:v>0.2609363686370704</x:v>
      </x:c>
      <x:c r="K6" t="n">
        <x:v>0.5279822995259009</x:v>
      </x:c>
      <x:c r="L6" t="n">
        <x:v>0.4521991822086841</x:v>
      </x:c>
      <x:c r="M6" t="n">
        <x:v>0.2242900730714296</x:v>
      </x:c>
      <x:c r="N6" t="n">
        <x:v>0.1342354914632473</x:v>
      </x:c>
      <x:c r="O6" t="n">
        <x:v>0.1419281975515862</x:v>
      </x:c>
      <x:c r="P6" t="n">
        <x:v>-0.06749920985813704</x:v>
      </x:c>
      <x:c r="Q6" t="n">
        <x:v>0.2762947865398681</x:v>
      </x:c>
      <x:c r="R6" t="n">
        <x:v>0.2752444626928556</x:v>
      </x:c>
      <x:c r="S6" t="n">
        <x:v>0.1684819813268331</x:v>
      </x:c>
      <x:c r="T6" t="n">
        <x:v>-0.2951346578708305</x:v>
      </x:c>
      <x:c r="U6" t="n">
        <x:v>0.136398703944931</x:v>
      </x:c>
      <x:c r="V6" t="n">
        <x:v>0.4296271570682281</x:v>
      </x:c>
      <x:c r="W6" t="n">
        <x:v>0.1306190564493329</x:v>
      </x:c>
      <x:c r="X6" t="n">
        <x:v>0.376019485100873</x:v>
      </x:c>
      <x:c r="Y6" t="n">
        <x:v>-0.1269199249166963</x:v>
      </x:c>
      <x:c r="Z6" t="n">
        <x:v>-0.1506409258795541</x:v>
      </x:c>
      <x:c r="AA6" t="n">
        <x:v>-0.2527142031057688</x:v>
      </x:c>
      <x:c r="AB6" t="n">
        <x:v>0.1001846538797792</x:v>
      </x:c>
      <x:c r="AC6" t="n">
        <x:v>-0.01180977183517083</x:v>
      </x:c>
      <x:c r="AD6" t="n">
        <x:v>0.1757370643343389</x:v>
      </x:c>
      <x:c r="AE6" t="n">
        <x:v>-0.06520433490497966</x:v>
      </x:c>
      <x:c r="AF6" t="n">
        <x:v>-0.06341042436605956</x:v>
      </x:c>
      <x:c r="AG6" t="n">
        <x:v>0.03353793467632791</x:v>
      </x:c>
      <x:c r="AH6" t="n">
        <x:v>0.1841894429195993</x:v>
      </x:c>
      <x:c r="AI6" t="n">
        <x:v>0.02148683637943423</x:v>
      </x:c>
      <x:c r="AJ6" t="n">
        <x:v>0.09759022713306445</x:v>
      </x:c>
      <x:c r="AK6" t="n">
        <x:v>0.09044095592799399</x:v>
      </x:c>
    </x:row>
    <x:row r="7">
      <x:c r="A7" t="n">
        <x:v>111</x:v>
      </x:c>
      <x:c r="B7" t="inlineStr">
        <x:is>
          <x:t xml:space="preserve">Ba2MgSi2O7</x:t>
        </x:is>
      </x:c>
      <x:c r="C7" t="n">
        <x:v>0</x:v>
      </x:c>
      <x:c r="D7" t="n">
        <x:v>-0.84870595283631</x:v>
      </x:c>
      <x:c r="E7" t="n">
        <x:v>-0.06330269137792957</x:v>
      </x:c>
      <x:c r="F7" t="n">
        <x:v>0.3222462623970572</x:v>
      </x:c>
      <x:c r="G7" t="n">
        <x:v>0.067368214485867</x:v>
      </x:c>
      <x:c r="H7" t="n">
        <x:v>-0.3667686580850487</x:v>
      </x:c>
      <x:c r="I7" t="n">
        <x:v>0.05373786354378904</x:v>
      </x:c>
      <x:c r="J7" t="n">
        <x:v>-0.196381741787579</x:v>
      </x:c>
      <x:c r="K7" t="n">
        <x:v>-0.01690161502449573</x:v>
      </x:c>
      <x:c r="L7" t="n">
        <x:v>0.08737217294225698</x:v>
      </x:c>
      <x:c r="M7" t="n">
        <x:v>0.09217317767828219</x:v>
      </x:c>
      <x:c r="N7" t="n">
        <x:v>-0.110871910520452</x:v>
      </x:c>
      <x:c r="O7" t="n">
        <x:v>-0.103981079734611</x:v>
      </x:c>
      <x:c r="P7" t="n">
        <x:v>0.2351375098877276</x:v>
      </x:c>
      <x:c r="Q7" t="n">
        <x:v>0.2780681623642698</x:v>
      </x:c>
      <x:c r="R7" t="n">
        <x:v>-0.1370589359657675</x:v>
      </x:c>
      <x:c r="S7" t="n">
        <x:v>-0.1285786368643477</x:v>
      </x:c>
      <x:c r="T7" t="n">
        <x:v>0.1390122145734489</x:v>
      </x:c>
      <x:c r="U7" t="n">
        <x:v>-0.005155590408165767</x:v>
      </x:c>
      <x:c r="V7" t="n">
        <x:v>0.1580879825350918</x:v>
      </x:c>
      <x:c r="W7" t="n">
        <x:v>0.1535529621339521</x:v>
      </x:c>
      <x:c r="X7" t="n">
        <x:v>-0.1158751096129333</x:v>
      </x:c>
      <x:c r="Y7" t="n">
        <x:v>0.04851633120878972</x:v>
      </x:c>
      <x:c r="Z7" t="n">
        <x:v>0.1711787517747084</x:v>
      </x:c>
      <x:c r="AA7" t="n">
        <x:v>-0.1002875697881404</x:v>
      </x:c>
      <x:c r="AB7" t="n">
        <x:v>-0.01283094380651306</x:v>
      </x:c>
      <x:c r="AC7" t="n">
        <x:v>-0.1562233756833376</x:v>
      </x:c>
      <x:c r="AD7" t="n">
        <x:v>0.01709287621819505</x:v>
      </x:c>
      <x:c r="AE7" t="n">
        <x:v>-0.02272327976999553</x:v>
      </x:c>
      <x:c r="AF7" t="n">
        <x:v>0.02608484286744833</x:v>
      </x:c>
      <x:c r="AG7" t="n">
        <x:v>0.01267041723637619</x:v>
      </x:c>
      <x:c r="AH7" t="n">
        <x:v>-0.1052464486812554</x:v>
      </x:c>
      <x:c r="AI7" t="n">
        <x:v>-0.08089849500483566</x:v>
      </x:c>
      <x:c r="AJ7" t="n">
        <x:v>-0.01237143032988051</x:v>
      </x:c>
      <x:c r="AK7" t="n">
        <x:v>-0.1145674796046377</x:v>
      </x:c>
    </x:row>
    <x:row r="8">
      <x:c r="A8" t="n">
        <x:v>142</x:v>
      </x:c>
      <x:c r="B8" t="inlineStr">
        <x:is>
          <x:t xml:space="preserve">Ba2Ca(BO3)2</x:t>
        </x:is>
      </x:c>
      <x:c r="C8" t="n">
        <x:v>0</x:v>
      </x:c>
      <x:c r="D8" t="n">
        <x:v>-0.7903970823682128</x:v>
      </x:c>
      <x:c r="E8" t="n">
        <x:v>0.4314923042597231</x:v>
      </x:c>
      <x:c r="F8" t="n">
        <x:v>0.7895213046396521</x:v>
      </x:c>
      <x:c r="G8" t="n">
        <x:v>0.0319576559322626</x:v>
      </x:c>
      <x:c r="H8" t="n">
        <x:v>-0.2904418297857618</x:v>
      </x:c>
      <x:c r="I8" t="n">
        <x:v>-0.02313834929595596</x:v>
      </x:c>
      <x:c r="J8" t="n">
        <x:v>-0.2731038339601951</x:v>
      </x:c>
      <x:c r="K8" t="n">
        <x:v>-0.1308586844217183</x:v>
      </x:c>
      <x:c r="L8" t="n">
        <x:v>0.05154602470295313</x:v>
      </x:c>
      <x:c r="M8" t="n">
        <x:v>-0.3485644627551483</x:v>
      </x:c>
      <x:c r="N8" t="n">
        <x:v>-0.237041683964238</x:v>
      </x:c>
      <x:c r="O8" t="n">
        <x:v>-0.0003622209073788619</x:v>
      </x:c>
      <x:c r="P8" t="n">
        <x:v>-0.1060913735394549</x:v>
      </x:c>
      <x:c r="Q8" t="n">
        <x:v>-0.1401109069676869</x:v>
      </x:c>
      <x:c r="R8" t="n">
        <x:v>0.08577164389144494</x:v>
      </x:c>
      <x:c r="S8" t="n">
        <x:v>-0.2077950184013017</x:v>
      </x:c>
      <x:c r="T8" t="n">
        <x:v>-0.1264768962868686</x:v>
      </x:c>
      <x:c r="U8" t="n">
        <x:v>0.08309783363364549</x:v>
      </x:c>
      <x:c r="V8" t="n">
        <x:v>-0.3109382979621191</x:v>
      </x:c>
      <x:c r="W8" t="n">
        <x:v>0.1849955672247393</x:v>
      </x:c>
      <x:c r="X8" t="n">
        <x:v>0.237688682996874</x:v>
      </x:c>
      <x:c r="Y8" t="n">
        <x:v>-0.1423239047976395</x:v>
      </x:c>
      <x:c r="Z8" t="n">
        <x:v>-0.2422474559682684</x:v>
      </x:c>
      <x:c r="AA8" t="n">
        <x:v>-0.07323833750628003</x:v>
      </x:c>
      <x:c r="AB8" t="n">
        <x:v>0.002832573422982208</x:v>
      </x:c>
      <x:c r="AC8" t="n">
        <x:v>-0.1919473189997369</x:v>
      </x:c>
      <x:c r="AD8" t="n">
        <x:v>-0.002434714581004725</x:v>
      </x:c>
      <x:c r="AE8" t="n">
        <x:v>-0.01205666210122677</x:v>
      </x:c>
      <x:c r="AF8" t="n">
        <x:v>-0.1023368695798424</x:v>
      </x:c>
      <x:c r="AG8" t="n">
        <x:v>0.01098948090899775</x:v>
      </x:c>
      <x:c r="AH8" t="n">
        <x:v>-0.0518603774282934</x:v>
      </x:c>
      <x:c r="AI8" t="n">
        <x:v>0.05379974654026654</x:v>
      </x:c>
      <x:c r="AJ8" t="n">
        <x:v>0.02685025794827007</x:v>
      </x:c>
      <x:c r="AK8" t="n">
        <x:v>-0.005212051441839745</x:v>
      </x:c>
    </x:row>
    <x:row r="9">
      <x:c r="A9" t="n">
        <x:v>144</x:v>
      </x:c>
      <x:c r="B9" t="inlineStr">
        <x:is>
          <x:t xml:space="preserve">Ba2Mg(PO4)2</x:t>
        </x:is>
      </x:c>
      <x:c r="C9" t="n">
        <x:v>0</x:v>
      </x:c>
      <x:c r="D9" t="n">
        <x:v>-0.9222873417907016</x:v>
      </x:c>
      <x:c r="E9" t="n">
        <x:v>-0.6043235140621068</x:v>
      </x:c>
      <x:c r="F9" t="n">
        <x:v>-0.02526926347334262</x:v>
      </x:c>
      <x:c r="G9" t="n">
        <x:v>-0.1704270488090667</x:v>
      </x:c>
      <x:c r="H9" t="n">
        <x:v>-0.2925965850188808</x:v>
      </x:c>
      <x:c r="I9" t="n">
        <x:v>0.1675479778792221</x:v>
      </x:c>
      <x:c r="J9" t="n">
        <x:v>-0.2544900068569217</x:v>
      </x:c>
      <x:c r="K9" t="n">
        <x:v>0.08139193932971195</x:v>
      </x:c>
      <x:c r="L9" t="n">
        <x:v>0.2973466578799871</x:v>
      </x:c>
      <x:c r="M9" t="n">
        <x:v>-0.05845776774793832</x:v>
      </x:c>
      <x:c r="N9" t="n">
        <x:v>-0.3180416819407395</x:v>
      </x:c>
      <x:c r="O9" t="n">
        <x:v>-0.06587387144197911</x:v>
      </x:c>
      <x:c r="P9" t="n">
        <x:v>-0.0310356959280748</x:v>
      </x:c>
      <x:c r="Q9" t="n">
        <x:v>0.19004005253285</x:v>
      </x:c>
      <x:c r="R9" t="n">
        <x:v>-0.04794834065494735</x:v>
      </x:c>
      <x:c r="S9" t="n">
        <x:v>0.1538238846246381</x:v>
      </x:c>
      <x:c r="T9" t="n">
        <x:v>-0.1246269570173696</x:v>
      </x:c>
      <x:c r="U9" t="n">
        <x:v>-0.1845858667911615</x:v>
      </x:c>
      <x:c r="V9" t="n">
        <x:v>0.1012847140701238</x:v>
      </x:c>
      <x:c r="W9" t="n">
        <x:v>-0.01193898916417267</x:v>
      </x:c>
      <x:c r="X9" t="n">
        <x:v>0.1563633414494282</x:v>
      </x:c>
      <x:c r="Y9" t="n">
        <x:v>-0.01813949976269301</x:v>
      </x:c>
      <x:c r="Z9" t="n">
        <x:v>-0.0284986559056882</x:v>
      </x:c>
      <x:c r="AA9" t="n">
        <x:v>-0.03721303447236794</x:v>
      </x:c>
      <x:c r="AB9" t="n">
        <x:v>0.06117048377411658</x:v>
      </x:c>
      <x:c r="AC9" t="n">
        <x:v>-0.1009526889237352</x:v>
      </x:c>
      <x:c r="AD9" t="n">
        <x:v>-0.1864341494838161</x:v>
      </x:c>
      <x:c r="AE9" t="n">
        <x:v>-0.03224315182502653</x:v>
      </x:c>
      <x:c r="AF9" t="n">
        <x:v>0.002284032508357672</x:v>
      </x:c>
      <x:c r="AG9" t="n">
        <x:v>0.1141509223173596</x:v>
      </x:c>
      <x:c r="AH9" t="n">
        <x:v>0.07196275277163969</x:v>
      </x:c>
      <x:c r="AI9" t="n">
        <x:v>0.0892923313461762</x:v>
      </x:c>
      <x:c r="AJ9" t="n">
        <x:v>-0.03793768518519618</x:v>
      </x:c>
      <x:c r="AK9" t="n">
        <x:v>-0.0906307331337409</x:v>
      </x:c>
    </x:row>
    <x:row r="10">
      <x:c r="A10" t="n">
        <x:v>153</x:v>
      </x:c>
      <x:c r="B10" t="inlineStr">
        <x:is>
          <x:t xml:space="preserve">Ba3Si6(NO6)2</x:t>
        </x:is>
      </x:c>
      <x:c r="C10" t="n">
        <x:v>0</x:v>
      </x:c>
      <x:c r="D10" t="n">
        <x:v>-0.9518844615797948</x:v>
      </x:c>
      <x:c r="E10" t="n">
        <x:v>0.01858745119742414</x:v>
      </x:c>
      <x:c r="F10" t="n">
        <x:v>0.1420200216726124</x:v>
      </x:c>
      <x:c r="G10" t="n">
        <x:v>0.56697479860026</x:v>
      </x:c>
      <x:c r="H10" t="n">
        <x:v>0.4512811111625392</x:v>
      </x:c>
      <x:c r="I10" t="n">
        <x:v>0.2582112922828879</x:v>
      </x:c>
      <x:c r="J10" t="n">
        <x:v>0.001914297393163904</x:v>
      </x:c>
      <x:c r="K10" t="n">
        <x:v>-0.1206019515047073</x:v>
      </x:c>
      <x:c r="L10" t="n">
        <x:v>-0.2095897501068293</x:v>
      </x:c>
      <x:c r="M10" t="n">
        <x:v>0.01969406882882226</x:v>
      </x:c>
      <x:c r="N10" t="n">
        <x:v>-0.2659298183079615</x:v>
      </x:c>
      <x:c r="O10" t="n">
        <x:v>0.2928561415293215</x:v>
      </x:c>
      <x:c r="P10" t="n">
        <x:v>0.003904738039568144</x:v>
      </x:c>
      <x:c r="Q10" t="n">
        <x:v>-0.0389014307044554</x:v>
      </x:c>
      <x:c r="R10" t="n">
        <x:v>-0.1164428909890771</x:v>
      </x:c>
      <x:c r="S10" t="n">
        <x:v>0.07751783816159559</x:v>
      </x:c>
      <x:c r="T10" t="n">
        <x:v>-0.1351304870573806</x:v>
      </x:c>
      <x:c r="U10" t="n">
        <x:v>0.07693359745223985</x:v>
      </x:c>
      <x:c r="V10" t="n">
        <x:v>0.2361781522680095</x:v>
      </x:c>
      <x:c r="W10" t="n">
        <x:v>-0.1054676681894022</x:v>
      </x:c>
      <x:c r="X10" t="n">
        <x:v>0.2355130454296437</x:v>
      </x:c>
      <x:c r="Y10" t="n">
        <x:v>0.2854958347706411</x:v>
      </x:c>
      <x:c r="Z10" t="n">
        <x:v>0.2231052696541965</x:v>
      </x:c>
      <x:c r="AA10" t="n">
        <x:v>-0.03502063861317555</x:v>
      </x:c>
      <x:c r="AB10" t="n">
        <x:v>-0.1800644827716996</x:v>
      </x:c>
      <x:c r="AC10" t="n">
        <x:v>-0.003683918913740498</x:v>
      </x:c>
      <x:c r="AD10" t="n">
        <x:v>-0.006522304456334054</x:v>
      </x:c>
      <x:c r="AE10" t="n">
        <x:v>0.03569263199436885</x:v>
      </x:c>
      <x:c r="AF10" t="n">
        <x:v>0.1766475721575203</x:v>
      </x:c>
      <x:c r="AG10" t="n">
        <x:v>0.05900280463655443</x:v>
      </x:c>
      <x:c r="AH10" t="n">
        <x:v>0.05718692834575752</x:v>
      </x:c>
      <x:c r="AI10" t="n">
        <x:v>0.158424753724087</x:v>
      </x:c>
      <x:c r="AJ10" t="n">
        <x:v>-0.1720967712187614</x:v>
      </x:c>
      <x:c r="AK10" t="n">
        <x:v>-0.0615638645329209</x:v>
      </x:c>
    </x:row>
    <x:row r="11">
      <x:c r="A11" t="n">
        <x:v>157</x:v>
      </x:c>
      <x:c r="B11" t="inlineStr">
        <x:is>
          <x:t xml:space="preserve">BaNa(B3O5)3</x:t>
        </x:is>
      </x:c>
      <x:c r="C11" t="n">
        <x:v>1</x:v>
      </x:c>
      <x:c r="D11" t="n">
        <x:v>-0.2184583053400746</x:v>
      </x:c>
      <x:c r="E11" t="n">
        <x:v>0.6188622493129157</x:v>
      </x:c>
      <x:c r="F11" t="n">
        <x:v>0.1264860679427879</x:v>
      </x:c>
      <x:c r="G11" t="n">
        <x:v>-0.6850780817932121</x:v>
      </x:c>
      <x:c r="H11" t="n">
        <x:v>1.132538293373631</x:v>
      </x:c>
      <x:c r="I11" t="n">
        <x:v>-0.2465980207300554</x:v>
      </x:c>
      <x:c r="J11" t="n">
        <x:v>0.4239162577163688</x:v>
      </x:c>
      <x:c r="K11" t="n">
        <x:v>-0.1459754640355671</x:v>
      </x:c>
      <x:c r="L11" t="n">
        <x:v>-0.2320779691418762</x:v>
      </x:c>
      <x:c r="M11" t="n">
        <x:v>0.05255318963614216</x:v>
      </x:c>
      <x:c r="N11" t="n">
        <x:v>0.100184836909493</x:v>
      </x:c>
      <x:c r="O11" t="n">
        <x:v>-0.3310872147790413</x:v>
      </x:c>
      <x:c r="P11" t="n">
        <x:v>-0.3181812569676531</x:v>
      </x:c>
      <x:c r="Q11" t="n">
        <x:v>-0.2759019148654075</x:v>
      </x:c>
      <x:c r="R11" t="n">
        <x:v>-0.5798895505215763</x:v>
      </x:c>
      <x:c r="S11" t="n">
        <x:v>0.03191181699434931</x:v>
      </x:c>
      <x:c r="T11" t="n">
        <x:v>-0.2035524189128266</x:v>
      </x:c>
      <x:c r="U11" t="n">
        <x:v>-0.07134163265587803</x:v>
      </x:c>
      <x:c r="V11" t="n">
        <x:v>-0.07136350553113849</x:v>
      </x:c>
      <x:c r="W11" t="n">
        <x:v>0.2291076741932706</x:v>
      </x:c>
      <x:c r="X11" t="n">
        <x:v>-0.008983816344973699</x:v>
      </x:c>
      <x:c r="Y11" t="n">
        <x:v>0.2368287169208082</x:v>
      </x:c>
      <x:c r="Z11" t="n">
        <x:v>0.1456924566024717</x:v>
      </x:c>
      <x:c r="AA11" t="n">
        <x:v>-0.03430603946033829</x:v>
      </x:c>
      <x:c r="AB11" t="n">
        <x:v>-0.1507547009003648</x:v>
      </x:c>
      <x:c r="AC11" t="n">
        <x:v>-0.2097887635444216</x:v>
      </x:c>
      <x:c r="AD11" t="n">
        <x:v>0.2499651872646496</x:v>
      </x:c>
      <x:c r="AE11" t="n">
        <x:v>-0.3326198302031991</x:v>
      </x:c>
      <x:c r="AF11" t="n">
        <x:v>0.1880488178178195</x:v>
      </x:c>
      <x:c r="AG11" t="n">
        <x:v>0.2266111573324218</x:v>
      </x:c>
      <x:c r="AH11" t="n">
        <x:v>0.002027812286283335</x:v>
      </x:c>
      <x:c r="AI11" t="n">
        <x:v>0.06708585378155196</x:v>
      </x:c>
      <x:c r="AJ11" t="n">
        <x:v>0.08937441446536637</x:v>
      </x:c>
      <x:c r="AK11" t="n">
        <x:v>-0.02891768241151502</x:v>
      </x:c>
    </x:row>
    <x:row r="12">
      <x:c r="A12" t="n">
        <x:v>171</x:v>
      </x:c>
      <x:c r="B12" t="inlineStr">
        <x:is>
          <x:t xml:space="preserve">BaLi2SiO4</x:t>
        </x:is>
      </x:c>
      <x:c r="C12" t="n">
        <x:v>1</x:v>
      </x:c>
      <x:c r="D12" t="n">
        <x:v>0.8389035652157495</x:v>
      </x:c>
      <x:c r="E12" t="n">
        <x:v>0.2868945548579096</x:v>
      </x:c>
      <x:c r="F12" t="n">
        <x:v>0.2005270883462099</x:v>
      </x:c>
      <x:c r="G12" t="n">
        <x:v>0.2833514243766616</x:v>
      </x:c>
      <x:c r="H12" t="n">
        <x:v>0.6204716405834148</x:v>
      </x:c>
      <x:c r="I12" t="n">
        <x:v>0.3382023218128312</x:v>
      </x:c>
      <x:c r="J12" t="n">
        <x:v>0.2100807995386706</x:v>
      </x:c>
      <x:c r="K12" t="n">
        <x:v>-0.4594343982858619</x:v>
      </x:c>
      <x:c r="L12" t="n">
        <x:v>0.5861153121261031</x:v>
      </x:c>
      <x:c r="M12" t="n">
        <x:v>-0.2040927262002207</x:v>
      </x:c>
      <x:c r="N12" t="n">
        <x:v>-0.03832846767389324</x:v>
      </x:c>
      <x:c r="O12" t="n">
        <x:v>-0.1747371643808418</x:v>
      </x:c>
      <x:c r="P12" t="n">
        <x:v>0.01601806162636204</x:v>
      </x:c>
      <x:c r="Q12" t="n">
        <x:v>0.07146764432868997</x:v>
      </x:c>
      <x:c r="R12" t="n">
        <x:v>0.09292067461960618</x:v>
      </x:c>
      <x:c r="S12" t="n">
        <x:v>0.006700944929923324</x:v>
      </x:c>
      <x:c r="T12" t="n">
        <x:v>0.1102881205917821</x:v>
      </x:c>
      <x:c r="U12" t="n">
        <x:v>-0.05241184737488763</x:v>
      </x:c>
      <x:c r="V12" t="n">
        <x:v>0.1801187059788872</x:v>
      </x:c>
      <x:c r="W12" t="n">
        <x:v>0.06042705772436259</x:v>
      </x:c>
      <x:c r="X12" t="n">
        <x:v>0.06306248414812919</x:v>
      </x:c>
      <x:c r="Y12" t="n">
        <x:v>0.09888659413112051</x:v>
      </x:c>
      <x:c r="Z12" t="n">
        <x:v>0.3496474058173941</x:v>
      </x:c>
      <x:c r="AA12" t="n">
        <x:v>-0.1131018096572747</x:v>
      </x:c>
      <x:c r="AB12" t="n">
        <x:v>0.06805502151372078</x:v>
      </x:c>
      <x:c r="AC12" t="n">
        <x:v>-0.1414822109008239</x:v>
      </x:c>
      <x:c r="AD12" t="n">
        <x:v>-0.06137624309296236</x:v>
      </x:c>
      <x:c r="AE12" t="n">
        <x:v>-0.0560845561134849</x:v>
      </x:c>
      <x:c r="AF12" t="n">
        <x:v>-0.1093992790224845</x:v>
      </x:c>
      <x:c r="AG12" t="n">
        <x:v>0.0721717461487062</x:v>
      </x:c>
      <x:c r="AH12" t="n">
        <x:v>-0.118296978510987</x:v>
      </x:c>
      <x:c r="AI12" t="n">
        <x:v>0.104946670381699</x:v>
      </x:c>
      <x:c r="AJ12" t="n">
        <x:v>0.02968236455789399</x:v>
      </x:c>
      <x:c r="AK12" t="n">
        <x:v>0.02599882692836394</x:v>
      </x:c>
    </x:row>
    <x:row r="13">
      <x:c r="A13" t="n">
        <x:v>180</x:v>
      </x:c>
      <x:c r="B13" t="inlineStr">
        <x:is>
          <x:t xml:space="preserve">Ba6Y2Al4O15</x:t>
        </x:is>
      </x:c>
      <x:c r="C13" t="n">
        <x:v>0</x:v>
      </x:c>
      <x:c r="D13" t="n">
        <x:v>-0.7895899802920929</x:v>
      </x:c>
      <x:c r="E13" t="n">
        <x:v>0.243109672458081</x:v>
      </x:c>
      <x:c r="F13" t="n">
        <x:v>0.6950833725719826</x:v>
      </x:c>
      <x:c r="G13" t="n">
        <x:v>0.5771510899915868</x:v>
      </x:c>
      <x:c r="H13" t="n">
        <x:v>-0.4503948054286137</x:v>
      </x:c>
      <x:c r="I13" t="n">
        <x:v>-0.007644909176014452</x:v>
      </x:c>
      <x:c r="J13" t="n">
        <x:v>-0.2252495629366016</x:v>
      </x:c>
      <x:c r="K13" t="n">
        <x:v>0.4957030410531063</x:v>
      </x:c>
      <x:c r="L13" t="n">
        <x:v>0.2385514103776183</x:v>
      </x:c>
      <x:c r="M13" t="n">
        <x:v>0.07755932118253288</x:v>
      </x:c>
      <x:c r="N13" t="n">
        <x:v>0.01820423644115461</x:v>
      </x:c>
      <x:c r="O13" t="n">
        <x:v>-0.1389246908546792</x:v>
      </x:c>
      <x:c r="P13" t="n">
        <x:v>0.2587488982884007</x:v>
      </x:c>
      <x:c r="Q13" t="n">
        <x:v>-0.2183165013936064</x:v>
      </x:c>
      <x:c r="R13" t="n">
        <x:v>-0.2127204100363671</x:v>
      </x:c>
      <x:c r="S13" t="n">
        <x:v>0.1213798739852298</x:v>
      </x:c>
      <x:c r="T13" t="n">
        <x:v>0.1341978699486124</x:v>
      </x:c>
      <x:c r="U13" t="n">
        <x:v>0.1538494404084959</x:v>
      </x:c>
      <x:c r="V13" t="n">
        <x:v>-0.0002825789450215516</x:v>
      </x:c>
      <x:c r="W13" t="n">
        <x:v>-0.1160902392840639</x:v>
      </x:c>
      <x:c r="X13" t="n">
        <x:v>-0.004763734101399779</x:v>
      </x:c>
      <x:c r="Y13" t="n">
        <x:v>0.1764954753027721</x:v>
      </x:c>
      <x:c r="Z13" t="n">
        <x:v>-0.07017487433669822</x:v>
      </x:c>
      <x:c r="AA13" t="n">
        <x:v>0.1499249054272062</x:v>
      </x:c>
      <x:c r="AB13" t="n">
        <x:v>-0.04570443482221127</x:v>
      </x:c>
      <x:c r="AC13" t="n">
        <x:v>-0.04674135664819948</x:v>
      </x:c>
      <x:c r="AD13" t="n">
        <x:v>-0.09715403309818511</x:v>
      </x:c>
      <x:c r="AE13" t="n">
        <x:v>-0.04685302966571755</x:v>
      </x:c>
      <x:c r="AF13" t="n">
        <x:v>-0.262495183362667</x:v>
      </x:c>
      <x:c r="AG13" t="n">
        <x:v>-0.2294745123768392</x:v>
      </x:c>
      <x:c r="AH13" t="n">
        <x:v>0.1448493224108977</x:v>
      </x:c>
      <x:c r="AI13" t="n">
        <x:v>0.01256189660278541</x:v>
      </x:c>
      <x:c r="AJ13" t="n">
        <x:v>0.04439347620642981</x:v>
      </x:c>
      <x:c r="AK13" t="n">
        <x:v>0.1466877041265096</x:v>
      </x:c>
    </x:row>
    <x:row r="14">
      <x:c r="A14" t="n">
        <x:v>199</x:v>
      </x:c>
      <x:c r="B14" t="inlineStr">
        <x:is>
          <x:t xml:space="preserve">Cs2BaP2O7</x:t>
        </x:is>
      </x:c>
      <x:c r="C14" t="n">
        <x:v>3</x:v>
      </x:c>
      <x:c r="D14" t="n">
        <x:v>0.520988116338067</x:v>
      </x:c>
      <x:c r="E14" t="n">
        <x:v>-0.9789638738883083</x:v>
      </x:c>
      <x:c r="F14" t="n">
        <x:v>0.5471199903013964</x:v>
      </x:c>
      <x:c r="G14" t="n">
        <x:v>-0.3652894996854408</x:v>
      </x:c>
      <x:c r="H14" t="n">
        <x:v>0.03966182352920623</x:v>
      </x:c>
      <x:c r="I14" t="n">
        <x:v>0.3036679525384582</x:v>
      </x:c>
      <x:c r="J14" t="n">
        <x:v>0.09674979316762432</x:v>
      </x:c>
      <x:c r="K14" t="n">
        <x:v>0.3991299712155064</x:v>
      </x:c>
      <x:c r="L14" t="n">
        <x:v>0.1298807689810196</x:v>
      </x:c>
      <x:c r="M14" t="n">
        <x:v>0.0002105523543657192</x:v>
      </x:c>
      <x:c r="N14" t="n">
        <x:v>-0.2572328545159328</x:v>
      </x:c>
      <x:c r="O14" t="n">
        <x:v>0.03486003896554649</x:v>
      </x:c>
      <x:c r="P14" t="n">
        <x:v>0.1051024177356398</x:v>
      </x:c>
      <x:c r="Q14" t="n">
        <x:v>-0.0194228044575052</x:v>
      </x:c>
      <x:c r="R14" t="n">
        <x:v>-0.03007110153512823</x:v>
      </x:c>
      <x:c r="S14" t="n">
        <x:v>0.09854092794298473</x:v>
      </x:c>
      <x:c r="T14" t="n">
        <x:v>0.1461320387995882</x:v>
      </x:c>
      <x:c r="U14" t="n">
        <x:v>-0.1643537165127813</x:v>
      </x:c>
      <x:c r="V14" t="n">
        <x:v>-0.06705150131747509</x:v>
      </x:c>
      <x:c r="W14" t="n">
        <x:v>-0.1204376347214557</x:v>
      </x:c>
      <x:c r="X14" t="n">
        <x:v>0.1815156687613156</x:v>
      </x:c>
      <x:c r="Y14" t="n">
        <x:v>-0.1108260360219848</x:v>
      </x:c>
      <x:c r="Z14" t="n">
        <x:v>-0.1237985211368414</x:v>
      </x:c>
      <x:c r="AA14" t="n">
        <x:v>-0.04652575768586056</x:v>
      </x:c>
      <x:c r="AB14" t="n">
        <x:v>0.2266002057200558</x:v>
      </x:c>
      <x:c r="AC14" t="n">
        <x:v>-0.1292241631791342</x:v>
      </x:c>
      <x:c r="AD14" t="n">
        <x:v>-0.05005898872598427</x:v>
      </x:c>
      <x:c r="AE14" t="n">
        <x:v>0.04417871899168976</x:v>
      </x:c>
      <x:c r="AF14" t="n">
        <x:v>-0.08047093816862672</x:v>
      </x:c>
      <x:c r="AG14" t="n">
        <x:v>0.02562779013164379</x:v>
      </x:c>
      <x:c r="AH14" t="n">
        <x:v>0.1263055712073034</x:v>
      </x:c>
      <x:c r="AI14" t="n">
        <x:v>0.0118401641788685</x:v>
      </x:c>
      <x:c r="AJ14" t="n">
        <x:v>-0.06730679609443932</x:v>
      </x:c>
      <x:c r="AK14" t="n">
        <x:v>0.07150692694839464</x:v>
      </x:c>
    </x:row>
    <x:row r="15">
      <x:c r="A15" t="n">
        <x:v>261</x:v>
      </x:c>
      <x:c r="B15" t="inlineStr">
        <x:is>
          <x:t xml:space="preserve">NaCaPO4</x:t>
        </x:is>
      </x:c>
      <x:c r="C15" t="n">
        <x:v>1</x:v>
      </x:c>
      <x:c r="D15" t="n">
        <x:v>0.6142050586469257</x:v>
      </x:c>
      <x:c r="E15" t="n">
        <x:v>-0.2555426514924736</x:v>
      </x:c>
      <x:c r="F15" t="n">
        <x:v>-0.6090547007023606</x:v>
      </x:c>
      <x:c r="G15" t="n">
        <x:v>0.1882993039177749</x:v>
      </x:c>
      <x:c r="H15" t="n">
        <x:v>-0.03689633591110648</x:v>
      </x:c>
      <x:c r="I15" t="n">
        <x:v>-0.05100264487306818</x:v>
      </x:c>
      <x:c r="J15" t="n">
        <x:v>-0.2727007214871584</x:v>
      </x:c>
      <x:c r="K15" t="n">
        <x:v>0.2873053336240347</x:v>
      </x:c>
      <x:c r="L15" t="n">
        <x:v>-0.09342940341164799</x:v>
      </x:c>
      <x:c r="M15" t="n">
        <x:v>-0.1319565797728871</x:v>
      </x:c>
      <x:c r="N15" t="n">
        <x:v>-0.1474974210084286</x:v>
      </x:c>
      <x:c r="O15" t="n">
        <x:v>-0.295009741443031</x:v>
      </x:c>
      <x:c r="P15" t="n">
        <x:v>0.1329179129252894</x:v>
      </x:c>
      <x:c r="Q15" t="n">
        <x:v>0.2175410023011342</x:v>
      </x:c>
      <x:c r="R15" t="n">
        <x:v>0.1305717013684399</x:v>
      </x:c>
      <x:c r="S15" t="n">
        <x:v>-0.06409691316213367</x:v>
      </x:c>
      <x:c r="T15" t="n">
        <x:v>-0.07490048305771542</x:v>
      </x:c>
      <x:c r="U15" t="n">
        <x:v>0.285127113715227</x:v>
      </x:c>
      <x:c r="V15" t="n">
        <x:v>-0.2067183437783989</x:v>
      </x:c>
      <x:c r="W15" t="n">
        <x:v>-0.191512083475178</x:v>
      </x:c>
      <x:c r="X15" t="n">
        <x:v>0.06877361025869481</x:v>
      </x:c>
      <x:c r="Y15" t="n">
        <x:v>0.06116078737293648</x:v>
      </x:c>
      <x:c r="Z15" t="n">
        <x:v>-0.1306232217111692</x:v>
      </x:c>
      <x:c r="AA15" t="n">
        <x:v>0.05103235032579301</x:v>
      </x:c>
      <x:c r="AB15" t="n">
        <x:v>0.147819596121107</x:v>
      </x:c>
      <x:c r="AC15" t="n">
        <x:v>-0.08461859505380512</x:v>
      </x:c>
      <x:c r="AD15" t="n">
        <x:v>-0.03664327943672203</x:v>
      </x:c>
      <x:c r="AE15" t="n">
        <x:v>-0.1488421276551513</x:v>
      </x:c>
      <x:c r="AF15" t="n">
        <x:v>-0.07951989030207759</x:v>
      </x:c>
      <x:c r="AG15" t="n">
        <x:v>-0.02276423672921251</x:v>
      </x:c>
      <x:c r="AH15" t="n">
        <x:v>0.02709289280410654</x:v>
      </x:c>
      <x:c r="AI15" t="n">
        <x:v>0.2937839762824518</x:v>
      </x:c>
      <x:c r="AJ15" t="n">
        <x:v>0.03481398866706228</x:v>
      </x:c>
      <x:c r="AK15" t="n">
        <x:v>0.07788980461337426</x:v>
      </x:c>
    </x:row>
    <x:row r="16">
      <x:c r="A16" t="n">
        <x:v>283</x:v>
      </x:c>
      <x:c r="B16" t="inlineStr">
        <x:is>
          <x:t xml:space="preserve">RbLi7(SiO4)2</x:t>
        </x:is>
      </x:c>
      <x:c r="C16" t="n">
        <x:v>1</x:v>
      </x:c>
      <x:c r="D16" t="n">
        <x:v>1.293881876912752</x:v>
      </x:c>
      <x:c r="E16" t="n">
        <x:v>0.4109175303939864</x:v>
      </x:c>
      <x:c r="F16" t="n">
        <x:v>0.09763576464552999</x:v>
      </x:c>
      <x:c r="G16" t="n">
        <x:v>-0.5748036220363471</x:v>
      </x:c>
      <x:c r="H16" t="n">
        <x:v>-0.1166790531471362</x:v>
      </x:c>
      <x:c r="I16" t="n">
        <x:v>0.09546446277621994</x:v>
      </x:c>
      <x:c r="J16" t="n">
        <x:v>-0.2074101305647522</x:v>
      </x:c>
      <x:c r="K16" t="n">
        <x:v>-0.1285686064075223</x:v>
      </x:c>
      <x:c r="L16" t="n">
        <x:v>0.6631567744624421</x:v>
      </x:c>
      <x:c r="M16" t="n">
        <x:v>-0.06613874645028825</x:v>
      </x:c>
      <x:c r="N16" t="n">
        <x:v>-0.3083860022194006</x:v>
      </x:c>
      <x:c r="O16" t="n">
        <x:v>0.1803456490653678</x:v>
      </x:c>
      <x:c r="P16" t="n">
        <x:v>-0.4295323139457861</x:v>
      </x:c>
      <x:c r="Q16" t="n">
        <x:v>0.1462416774676515</x:v>
      </x:c>
      <x:c r="R16" t="n">
        <x:v>0.08006215882036269</x:v>
      </x:c>
      <x:c r="S16" t="n">
        <x:v>-0.01346309489782003</x:v>
      </x:c>
      <x:c r="T16" t="n">
        <x:v>0.02933023761826986</x:v>
      </x:c>
      <x:c r="U16" t="n">
        <x:v>-0.1818931841494043</x:v>
      </x:c>
      <x:c r="V16" t="n">
        <x:v>-0.2177030936501037</x:v>
      </x:c>
      <x:c r="W16" t="n">
        <x:v>0.1031629942857085</x:v>
      </x:c>
      <x:c r="X16" t="n">
        <x:v>0.1275283857843317</x:v>
      </x:c>
      <x:c r="Y16" t="n">
        <x:v>0.508532230555602</x:v>
      </x:c>
      <x:c r="Z16" t="n">
        <x:v>0.1102720429320452</x:v>
      </x:c>
      <x:c r="AA16" t="n">
        <x:v>-0.2998777667609311</x:v>
      </x:c>
      <x:c r="AB16" t="n">
        <x:v>0.02020045428026418</x:v>
      </x:c>
      <x:c r="AC16" t="n">
        <x:v>0.2329136573663453</x:v>
      </x:c>
      <x:c r="AD16" t="n">
        <x:v>-0.1709889441123595</x:v>
      </x:c>
      <x:c r="AE16" t="n">
        <x:v>-0.1577297018005888</x:v>
      </x:c>
      <x:c r="AF16" t="n">
        <x:v>-0.08966575001638161</x:v>
      </x:c>
      <x:c r="AG16" t="n">
        <x:v>-0.007014259115365341</x:v>
      </x:c>
      <x:c r="AH16" t="n">
        <x:v>-0.2168013502836011</x:v>
      </x:c>
      <x:c r="AI16" t="n">
        <x:v>0.02797828920111509</x:v>
      </x:c>
      <x:c r="AJ16" t="n">
        <x:v>0.007314954263231983</x:v>
      </x:c>
      <x:c r="AK16" t="n">
        <x:v>0.04388522932679031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Benchmark</x:t>
        </x:is>
      </x:c>
      <x:c r="B1" s="1" t="inlineStr">
        <x:is>
          <x:t xml:space="preserve">17 | SrAl2O4</x:t>
        </x:is>
      </x:c>
      <x:c r="C1" s="1" t="inlineStr">
        <x:is>
          <x:t xml:space="preserve">111 | Ba2MgSi2O7</x:t>
        </x:is>
      </x:c>
      <x:c r="D1" s="1" t="inlineStr">
        <x:is>
          <x:t xml:space="preserve">142 | Ba2Ca(BO3)2</x:t>
        </x:is>
      </x:c>
      <x:c r="E1" s="1" t="inlineStr">
        <x:is>
          <x:t xml:space="preserve">144 | Ba2Mg(PO4)2</x:t>
        </x:is>
      </x:c>
      <x:c r="F1" s="1" t="inlineStr">
        <x:is>
          <x:t xml:space="preserve">153 | Ba3Si6(NO6)2</x:t>
        </x:is>
      </x:c>
      <x:c r="G1" s="1" t="inlineStr">
        <x:is>
          <x:t xml:space="preserve">180 | Ba6Y2Al4O15</x:t>
        </x:is>
      </x:c>
      <x:c r="H1" s="1" t="inlineStr">
        <x:is>
          <x:t xml:space="preserve">14 | K2RbNaLi12(SiO4)4</x:t>
        </x:is>
      </x:c>
      <x:c r="I1" s="1" t="inlineStr">
        <x:is>
          <x:t xml:space="preserve">15 | Rb2ZrSi2O7</x:t>
        </x:is>
      </x:c>
      <x:c r="J1" s="1" t="inlineStr">
        <x:is>
          <x:t xml:space="preserve">16 | Sr2LiSiO4F</x:t>
        </x:is>
      </x:c>
      <x:c r="K1" s="1" t="inlineStr">
        <x:is>
          <x:t xml:space="preserve">95 | Na3YSi2O7</x:t>
        </x:is>
      </x:c>
      <x:c r="L1" s="1" t="inlineStr">
        <x:is>
          <x:t xml:space="preserve">157 | BaNa(B3O5)3</x:t>
        </x:is>
      </x:c>
      <x:c r="M1" s="1" t="inlineStr">
        <x:is>
          <x:t xml:space="preserve">171 | BaLi2SiO4</x:t>
        </x:is>
      </x:c>
      <x:c r="N1" s="1" t="inlineStr">
        <x:is>
          <x:t xml:space="preserve">261 | NaCaPO4</x:t>
        </x:is>
      </x:c>
      <x:c r="O1" s="1" t="inlineStr">
        <x:is>
          <x:t xml:space="preserve">283 | RbLi7(SiO4)2</x:t>
        </x:is>
      </x:c>
      <x:c r="P1" s="1" t="inlineStr">
        <x:is>
          <x:t xml:space="preserve">199 | Cs2BaP2O7</x:t>
        </x:is>
      </x:c>
    </x:row>
    <x:row r="2">
      <x:c r="A2" s="1" t="inlineStr">
        <x:is>
          <x:t xml:space="preserve">17 | SrAl2O4</x:t>
        </x:is>
      </x:c>
      <x:c r="B2" t="n">
        <x:v>0</x:v>
      </x:c>
      <x:c r="C2" t="n">
        <x:v>1.181756377155895</x:v>
      </x:c>
      <x:c r="D2" t="n">
        <x:v>1.609499118718329</x:v>
      </x:c>
      <x:c r="E2" t="n">
        <x:v>1.543253598661221</x:v>
      </x:c>
      <x:c r="F2" t="n">
        <x:v>1.575497471352046</x:v>
      </x:c>
      <x:c r="G2" t="n">
        <x:v>1.470034073966157</x:v>
      </x:c>
      <x:c r="H2" t="n">
        <x:v>2.857077946739883</x:v>
      </x:c>
      <x:c r="I2" t="n">
        <x:v>1.873501269718631</x:v>
      </x:c>
      <x:c r="J2" t="n">
        <x:v>2.178965593742312</x:v>
      </x:c>
      <x:c r="K2" t="n">
        <x:v>2.342368064834158</x:v>
      </x:c>
      <x:c r="L2" t="n">
        <x:v>2.518034719528274</x:v>
      </x:c>
      <x:c r="M2" t="n">
        <x:v>2.461841203010749</x:v>
      </x:c>
      <x:c r="N2" t="n">
        <x:v>2.015947433453698</x:v>
      </x:c>
      <x:c r="O2" t="n">
        <x:v>2.76163960926684</x:v>
      </x:c>
      <x:c r="P2" t="n">
        <x:v>2.373342202289349</x:v>
      </x:c>
    </x:row>
    <x:row r="3">
      <x:c r="A3" s="1" t="inlineStr">
        <x:is>
          <x:t xml:space="preserve">111 | Ba2MgSi2O7</x:t>
        </x:is>
      </x:c>
      <x:c r="B3" t="n">
        <x:v>1.181756377155895</x:v>
      </x:c>
      <x:c r="C3" t="n">
        <x:v>0</x:v>
      </x:c>
      <x:c r="D3" t="n">
        <x:v>1.324080238617545</x:v>
      </x:c>
      <x:c r="E3" t="n">
        <x:v>1.077770318031888</x:v>
      </x:c>
      <x:c r="F3" t="n">
        <x:v>1.437360804981574</x:v>
      </x:c>
      <x:c r="G3" t="n">
        <x:v>1.307970617681786</x:v>
      </x:c>
      <x:c r="H3" t="n">
        <x:v>2.74312260834069</x:v>
      </x:c>
      <x:c r="I3" t="n">
        <x:v>1.884984661724531</x:v>
      </x:c>
      <x:c r="J3" t="n">
        <x:v>2.009659971198674</x:v>
      </x:c>
      <x:c r="K3" t="n">
        <x:v>2.426944136894539</x:v>
      </x:c>
      <x:c r="L3" t="n">
        <x:v>2.401767266478514</x:v>
      </x:c>
      <x:c r="M3" t="n">
        <x:v>2.264589168060649</x:v>
      </x:c>
      <x:c r="N3" t="n">
        <x:v>2.068220075611361</x:v>
      </x:c>
      <x:c r="O3" t="n">
        <x:v>2.668784364212635</x:v>
      </x:c>
      <x:c r="P3" t="n">
        <x:v>2.047346557358667</x:v>
      </x:c>
    </x:row>
    <x:row r="4">
      <x:c r="A4" s="1" t="inlineStr">
        <x:is>
          <x:t xml:space="preserve">142 | Ba2Ca(BO3)2</x:t>
        </x:is>
      </x:c>
      <x:c r="B4" t="n">
        <x:v>1.609499118718329</x:v>
      </x:c>
      <x:c r="C4" t="n">
        <x:v>1.324080238617545</x:v>
      </x:c>
      <x:c r="D4" t="n">
        <x:v>0</x:v>
      </x:c>
      <x:c r="E4" t="n">
        <x:v>1.655488275448446</x:v>
      </x:c>
      <x:c r="F4" t="n">
        <x:v>1.744753069679137</x:v>
      </x:c>
      <x:c r="G4" t="n">
        <x:v>1.442479899025542</x:v>
      </x:c>
      <x:c r="H4" t="n">
        <x:v>3.019452867856774</x:v>
      </x:c>
      <x:c r="I4" t="n">
        <x:v>2.126499645604293</x:v>
      </x:c>
      <x:c r="J4" t="n">
        <x:v>2.038597871464271</x:v>
      </x:c>
      <x:c r="K4" t="n">
        <x:v>2.586004206478388</x:v>
      </x:c>
      <x:c r="L4" t="n">
        <x:v>2.383226206858856</x:v>
      </x:c>
      <x:c r="M4" t="n">
        <x:v>2.380203013950501</x:v>
      </x:c>
      <x:c r="N4" t="n">
        <x:v>2.335505784006426</x:v>
      </x:c>
      <x:c r="O4" t="n">
        <x:v>2.634185521378227</x:v>
      </x:c>
      <x:c r="P4" t="n">
        <x:v>2.295775185437834</x:v>
      </x:c>
    </x:row>
    <x:row r="5">
      <x:c r="A5" s="1" t="inlineStr">
        <x:is>
          <x:t xml:space="preserve">144 | Ba2Mg(PO4)2</x:t>
        </x:is>
      </x:c>
      <x:c r="B5" t="n">
        <x:v>1.543253598661221</x:v>
      </x:c>
      <x:c r="C5" t="n">
        <x:v>1.077770318031888</x:v>
      </x:c>
      <x:c r="D5" t="n">
        <x:v>1.655488275448446</x:v>
      </x:c>
      <x:c r="E5" t="n">
        <x:v>0</x:v>
      </x:c>
      <x:c r="F5" t="n">
        <x:v>1.583206648218334</x:v>
      </x:c>
      <x:c r="G5" t="n">
        <x:v>1.746209274820043</x:v>
      </x:c>
      <x:c r="H5" t="n">
        <x:v>3.074970504599144</x:v>
      </x:c>
      <x:c r="I5" t="n">
        <x:v>2.235107052864135</x:v>
      </x:c>
      <x:c r="J5" t="n">
        <x:v>2.208672400844927</x:v>
      </x:c>
      <x:c r="K5" t="n">
        <x:v>2.489808223925192</x:v>
      </x:c>
      <x:c r="L5" t="n">
        <x:v>2.601692532079784</x:v>
      </x:c>
      <x:c r="M5" t="n">
        <x:v>2.473572396193042</x:v>
      </x:c>
      <x:c r="N5" t="n">
        <x:v>1.995915415250228</x:v>
      </x:c>
      <x:c r="O5" t="n">
        <x:v>2.714332611375992</x:v>
      </x:c>
      <x:c r="P5" t="n">
        <x:v>1.813554797733422</x:v>
      </x:c>
    </x:row>
    <x:row r="6">
      <x:c r="A6" s="1" t="inlineStr">
        <x:is>
          <x:t xml:space="preserve">153 | Ba3Si6(NO6)2</x:t>
        </x:is>
      </x:c>
      <x:c r="B6" t="n">
        <x:v>1.575497471352046</x:v>
      </x:c>
      <x:c r="C6" t="n">
        <x:v>1.437360804981574</x:v>
      </x:c>
      <x:c r="D6" t="n">
        <x:v>1.744753069679137</x:v>
      </x:c>
      <x:c r="E6" t="n">
        <x:v>1.583206648218334</x:v>
      </x:c>
      <x:c r="F6" t="n">
        <x:v>0</x:v>
      </x:c>
      <x:c r="G6" t="n">
        <x:v>1.741278470598231</x:v>
      </x:c>
      <x:c r="H6" t="n">
        <x:v>2.88884839561553</x:v>
      </x:c>
      <x:c r="I6" t="n">
        <x:v>2.263852509860623</x:v>
      </x:c>
      <x:c r="J6" t="n">
        <x:v>2.308766294569891</x:v>
      </x:c>
      <x:c r="K6" t="n">
        <x:v>2.25823230595936</x:v>
      </x:c>
      <x:c r="L6" t="n">
        <x:v>2.21825288443646</x:v>
      </x:c>
      <x:c r="M6" t="n">
        <x:v>2.240781584034105</x:v>
      </x:c>
      <x:c r="N6" t="n">
        <x:v>2.265967767720607</x:v>
      </x:c>
      <x:c r="O6" t="n">
        <x:v>2.967759437535486</x:v>
      </x:c>
      <x:c r="P6" t="n">
        <x:v>2.379983095053708</x:v>
      </x:c>
    </x:row>
    <x:row r="7">
      <x:c r="A7" s="1" t="inlineStr">
        <x:is>
          <x:t xml:space="preserve">180 | Ba6Y2Al4O15</x:t>
        </x:is>
      </x:c>
      <x:c r="B7" t="n">
        <x:v>1.470034073966157</x:v>
      </x:c>
      <x:c r="C7" t="n">
        <x:v>1.307970617681786</x:v>
      </x:c>
      <x:c r="D7" t="n">
        <x:v>1.442479899025542</x:v>
      </x:c>
      <x:c r="E7" t="n">
        <x:v>1.746209274820043</x:v>
      </x:c>
      <x:c r="F7" t="n">
        <x:v>1.741278470598231</x:v>
      </x:c>
      <x:c r="G7" t="n">
        <x:v>0</x:v>
      </x:c>
      <x:c r="H7" t="n">
        <x:v>2.970586548159547</x:v>
      </x:c>
      <x:c r="I7" t="n">
        <x:v>1.979083313402783</x:v>
      </x:c>
      <x:c r="J7" t="n">
        <x:v>2.157444646586137</x:v>
      </x:c>
      <x:c r="K7" t="n">
        <x:v>2.47914954096842</x:v>
      </x:c>
      <x:c r="L7" t="n">
        <x:v>2.757681048583712</x:v>
      </x:c>
      <x:c r="M7" t="n">
        <x:v>2.529860798567444</x:v>
      </x:c>
      <x:c r="N7" t="n">
        <x:v>2.285200724525443</x:v>
      </x:c>
      <x:c r="O7" t="n">
        <x:v>2.930765043786423</x:v>
      </x:c>
      <x:c r="P7" t="n">
        <x:v>2.294534943291609</x:v>
      </x:c>
    </x:row>
    <x:row r="8">
      <x:c r="A8" s="1" t="inlineStr">
        <x:is>
          <x:t xml:space="preserve">14 | K2RbNaLi12(SiO4)4</x:t>
        </x:is>
      </x:c>
      <x:c r="B8" t="n">
        <x:v>2.857077946739883</x:v>
      </x:c>
      <x:c r="C8" t="n">
        <x:v>2.74312260834069</x:v>
      </x:c>
      <x:c r="D8" t="n">
        <x:v>3.019452867856774</x:v>
      </x:c>
      <x:c r="E8" t="n">
        <x:v>3.074970504599144</x:v>
      </x:c>
      <x:c r="F8" t="n">
        <x:v>2.88884839561553</x:v>
      </x:c>
      <x:c r="G8" t="n">
        <x:v>2.970586548159546</x:v>
      </x:c>
      <x:c r="H8" t="n">
        <x:v>0</x:v>
      </x:c>
      <x:c r="I8" t="n">
        <x:v>2.414455637950046</x:v>
      </x:c>
      <x:c r="J8" t="n">
        <x:v>2.016247920912444</x:v>
      </x:c>
      <x:c r="K8" t="n">
        <x:v>2.253876525616645</x:v>
      </x:c>
      <x:c r="L8" t="n">
        <x:v>2.976791672547009</x:v>
      </x:c>
      <x:c r="M8" t="n">
        <x:v>1.773255743273699</x:v>
      </x:c>
      <x:c r="N8" t="n">
        <x:v>2.365725012003105</x:v>
      </x:c>
      <x:c r="O8" t="n">
        <x:v>1.992470925738918</x:v>
      </x:c>
      <x:c r="P8" t="n">
        <x:v>2.489788798094958</x:v>
      </x:c>
    </x:row>
    <x:row r="9">
      <x:c r="A9" s="1" t="inlineStr">
        <x:is>
          <x:t xml:space="preserve">15 | Rb2ZrSi2O7</x:t>
        </x:is>
      </x:c>
      <x:c r="B9" t="n">
        <x:v>1.873501269718631</x:v>
      </x:c>
      <x:c r="C9" t="n">
        <x:v>1.884984661724531</x:v>
      </x:c>
      <x:c r="D9" t="n">
        <x:v>2.126499645604293</x:v>
      </x:c>
      <x:c r="E9" t="n">
        <x:v>2.235107052864135</x:v>
      </x:c>
      <x:c r="F9" t="n">
        <x:v>2.263852509860623</x:v>
      </x:c>
      <x:c r="G9" t="n">
        <x:v>1.979083313402783</x:v>
      </x:c>
      <x:c r="H9" t="n">
        <x:v>2.414455637950046</x:v>
      </x:c>
      <x:c r="I9" t="n">
        <x:v>0</x:v>
      </x:c>
      <x:c r="J9" t="n">
        <x:v>1.758815110567262</x:v>
      </x:c>
      <x:c r="K9" t="n">
        <x:v>1.986674609411845</x:v>
      </x:c>
      <x:c r="L9" t="n">
        <x:v>2.270305420339997</x:v>
      </x:c>
      <x:c r="M9" t="n">
        <x:v>1.980328397953113</x:v>
      </x:c>
      <x:c r="N9" t="n">
        <x:v>1.668458410039074</x:v>
      </x:c>
      <x:c r="O9" t="n">
        <x:v>2.054394398107948</x:v>
      </x:c>
      <x:c r="P9" t="n">
        <x:v>1.732234637050183</x:v>
      </x:c>
    </x:row>
    <x:row r="10">
      <x:c r="A10" s="1" t="inlineStr">
        <x:is>
          <x:t xml:space="preserve">16 | Sr2LiSiO4F</x:t>
        </x:is>
      </x:c>
      <x:c r="B10" t="n">
        <x:v>2.178965593742312</x:v>
      </x:c>
      <x:c r="C10" t="n">
        <x:v>2.009659971198674</x:v>
      </x:c>
      <x:c r="D10" t="n">
        <x:v>2.038597871464271</x:v>
      </x:c>
      <x:c r="E10" t="n">
        <x:v>2.208672400844926</x:v>
      </x:c>
      <x:c r="F10" t="n">
        <x:v>2.308766294569891</x:v>
      </x:c>
      <x:c r="G10" t="n">
        <x:v>2.157444646586137</x:v>
      </x:c>
      <x:c r="H10" t="n">
        <x:v>2.016247920912444</x:v>
      </x:c>
      <x:c r="I10" t="n">
        <x:v>1.758815110567262</x:v>
      </x:c>
      <x:c r="J10" t="n">
        <x:v>0</x:v>
      </x:c>
      <x:c r="K10" t="n">
        <x:v>2.168395554785855</x:v>
      </x:c>
      <x:c r="L10" t="n">
        <x:v>2.444781971747143</x:v>
      </x:c>
      <x:c r="M10" t="n">
        <x:v>1.737758403785605</x:v>
      </x:c>
      <x:c r="N10" t="n">
        <x:v>1.617413499795998</x:v>
      </x:c>
      <x:c r="O10" t="n">
        <x:v>1.996588803042687</x:v>
      </x:c>
      <x:c r="P10" t="n">
        <x:v>1.958798867495954</x:v>
      </x:c>
    </x:row>
    <x:row r="11">
      <x:c r="A11" s="1" t="inlineStr">
        <x:is>
          <x:t xml:space="preserve">95 | Na3YSi2O7</x:t>
        </x:is>
      </x:c>
      <x:c r="B11" t="n">
        <x:v>2.342368064834158</x:v>
      </x:c>
      <x:c r="C11" t="n">
        <x:v>2.426944136894539</x:v>
      </x:c>
      <x:c r="D11" t="n">
        <x:v>2.586004206478388</x:v>
      </x:c>
      <x:c r="E11" t="n">
        <x:v>2.489808223925192</x:v>
      </x:c>
      <x:c r="F11" t="n">
        <x:v>2.25823230595936</x:v>
      </x:c>
      <x:c r="G11" t="n">
        <x:v>2.47914954096842</x:v>
      </x:c>
      <x:c r="H11" t="n">
        <x:v>2.253876525616645</x:v>
      </x:c>
      <x:c r="I11" t="n">
        <x:v>1.986674609411845</x:v>
      </x:c>
      <x:c r="J11" t="n">
        <x:v>2.168395554785855</x:v>
      </x:c>
      <x:c r="K11" t="n">
        <x:v>0</x:v>
      </x:c>
      <x:c r="L11" t="n">
        <x:v>2.444525338202612</x:v>
      </x:c>
      <x:c r="M11" t="n">
        <x:v>1.645133935889765</x:v>
      </x:c>
      <x:c r="N11" t="n">
        <x:v>1.775065134530053</x:v>
      </x:c>
      <x:c r="O11" t="n">
        <x:v>2.240670501556263</x:v>
      </x:c>
      <x:c r="P11" t="n">
        <x:v>2.209573625062782</x:v>
      </x:c>
    </x:row>
    <x:row r="12">
      <x:c r="A12" s="1" t="inlineStr">
        <x:is>
          <x:t xml:space="preserve">157 | BaNa(B3O5)3</x:t>
        </x:is>
      </x:c>
      <x:c r="B12" t="n">
        <x:v>2.518034719528274</x:v>
      </x:c>
      <x:c r="C12" t="n">
        <x:v>2.401767266478514</x:v>
      </x:c>
      <x:c r="D12" t="n">
        <x:v>2.383226206858856</x:v>
      </x:c>
      <x:c r="E12" t="n">
        <x:v>2.601692532079784</x:v>
      </x:c>
      <x:c r="F12" t="n">
        <x:v>2.21825288443646</x:v>
      </x:c>
      <x:c r="G12" t="n">
        <x:v>2.757681048583712</x:v>
      </x:c>
      <x:c r="H12" t="n">
        <x:v>2.976791672547009</x:v>
      </x:c>
      <x:c r="I12" t="n">
        <x:v>2.270305420339997</x:v>
      </x:c>
      <x:c r="J12" t="n">
        <x:v>2.444781971747143</x:v>
      </x:c>
      <x:c r="K12" t="n">
        <x:v>2.444525338202612</x:v>
      </x:c>
      <x:c r="L12" t="n">
        <x:v>0</x:v>
      </x:c>
      <x:c r="M12" t="n">
        <x:v>2.237785678383976</x:v>
      </x:c>
      <x:c r="N12" t="n">
        <x:v>2.607249127426787</x:v>
      </x:c>
      <x:c r="O12" t="n">
        <x:v>2.680706999208295</x:v>
      </x:c>
      <x:c r="P12" t="n">
        <x:v>2.693891681920914</x:v>
      </x:c>
    </x:row>
    <x:row r="13">
      <x:c r="A13" s="1" t="inlineStr">
        <x:is>
          <x:t xml:space="preserve">171 | BaLi2SiO4</x:t>
        </x:is>
      </x:c>
      <x:c r="B13" t="n">
        <x:v>2.461841203010749</x:v>
      </x:c>
      <x:c r="C13" t="n">
        <x:v>2.264589168060649</x:v>
      </x:c>
      <x:c r="D13" t="n">
        <x:v>2.380203013950501</x:v>
      </x:c>
      <x:c r="E13" t="n">
        <x:v>2.473572396193042</x:v>
      </x:c>
      <x:c r="F13" t="n">
        <x:v>2.240781584034105</x:v>
      </x:c>
      <x:c r="G13" t="n">
        <x:v>2.529860798567444</x:v>
      </x:c>
      <x:c r="H13" t="n">
        <x:v>1.773255743273699</x:v>
      </x:c>
      <x:c r="I13" t="n">
        <x:v>1.980328397953113</x:v>
      </x:c>
      <x:c r="J13" t="n">
        <x:v>1.737758403785605</x:v>
      </x:c>
      <x:c r="K13" t="n">
        <x:v>1.645133935889765</x:v>
      </x:c>
      <x:c r="L13" t="n">
        <x:v>2.237785678383976</x:v>
      </x:c>
      <x:c r="M13" t="n">
        <x:v>0</x:v>
      </x:c>
      <x:c r="N13" t="n">
        <x:v>1.904450238326911</x:v>
      </x:c>
      <x:c r="O13" t="n">
        <x:v>1.708690373098635</x:v>
      </x:c>
      <x:c r="P13" t="n">
        <x:v>2.05596698011568</x:v>
      </x:c>
    </x:row>
    <x:row r="14">
      <x:c r="A14" s="1" t="inlineStr">
        <x:is>
          <x:t xml:space="preserve">261 | NaCaPO4</x:t>
        </x:is>
      </x:c>
      <x:c r="B14" t="n">
        <x:v>2.015947433453698</x:v>
      </x:c>
      <x:c r="C14" t="n">
        <x:v>2.068220075611361</x:v>
      </x:c>
      <x:c r="D14" t="n">
        <x:v>2.335505784006426</x:v>
      </x:c>
      <x:c r="E14" t="n">
        <x:v>1.995915415250228</x:v>
      </x:c>
      <x:c r="F14" t="n">
        <x:v>2.265967767720607</x:v>
      </x:c>
      <x:c r="G14" t="n">
        <x:v>2.285200724525443</x:v>
      </x:c>
      <x:c r="H14" t="n">
        <x:v>2.365725012003105</x:v>
      </x:c>
      <x:c r="I14" t="n">
        <x:v>1.668458410039074</x:v>
      </x:c>
      <x:c r="J14" t="n">
        <x:v>1.617413499795998</x:v>
      </x:c>
      <x:c r="K14" t="n">
        <x:v>1.775065134530053</x:v>
      </x:c>
      <x:c r="L14" t="n">
        <x:v>2.607249127426787</x:v>
      </x:c>
      <x:c r="M14" t="n">
        <x:v>1.904450238326911</x:v>
      </x:c>
      <x:c r="N14" t="n">
        <x:v>0</x:v>
      </x:c>
      <x:c r="O14" t="n">
        <x:v>2.077589957205308</x:v>
      </x:c>
      <x:c r="P14" t="n">
        <x:v>1.796756808732455</x:v>
      </x:c>
    </x:row>
    <x:row r="15">
      <x:c r="A15" s="1" t="inlineStr">
        <x:is>
          <x:t xml:space="preserve">283 | RbLi7(SiO4)2</x:t>
        </x:is>
      </x:c>
      <x:c r="B15" t="n">
        <x:v>2.76163960926684</x:v>
      </x:c>
      <x:c r="C15" t="n">
        <x:v>2.668784364212635</x:v>
      </x:c>
      <x:c r="D15" t="n">
        <x:v>2.634185521378227</x:v>
      </x:c>
      <x:c r="E15" t="n">
        <x:v>2.714332611375992</x:v>
      </x:c>
      <x:c r="F15" t="n">
        <x:v>2.967759437535486</x:v>
      </x:c>
      <x:c r="G15" t="n">
        <x:v>2.930765043786423</x:v>
      </x:c>
      <x:c r="H15" t="n">
        <x:v>1.992470925738918</x:v>
      </x:c>
      <x:c r="I15" t="n">
        <x:v>2.054394398107948</x:v>
      </x:c>
      <x:c r="J15" t="n">
        <x:v>1.996588803042687</x:v>
      </x:c>
      <x:c r="K15" t="n">
        <x:v>2.240670501556263</x:v>
      </x:c>
      <x:c r="L15" t="n">
        <x:v>2.680706999208295</x:v>
      </x:c>
      <x:c r="M15" t="n">
        <x:v>1.708690373098635</x:v>
      </x:c>
      <x:c r="N15" t="n">
        <x:v>2.077589957205308</x:v>
      </x:c>
      <x:c r="O15" t="n">
        <x:v>0</x:v>
      </x:c>
      <x:c r="P15" t="n">
        <x:v>2.193421516162295</x:v>
      </x:c>
    </x:row>
    <x:row r="16">
      <x:c r="A16" s="1" t="inlineStr">
        <x:is>
          <x:t xml:space="preserve">199 | Cs2BaP2O7</x:t>
        </x:is>
      </x:c>
      <x:c r="B16" t="n">
        <x:v>2.373342202289349</x:v>
      </x:c>
      <x:c r="C16" t="n">
        <x:v>2.047346557358667</x:v>
      </x:c>
      <x:c r="D16" t="n">
        <x:v>2.295775185437834</x:v>
      </x:c>
      <x:c r="E16" t="n">
        <x:v>1.813554797733422</x:v>
      </x:c>
      <x:c r="F16" t="n">
        <x:v>2.379983095053708</x:v>
      </x:c>
      <x:c r="G16" t="n">
        <x:v>2.294534943291609</x:v>
      </x:c>
      <x:c r="H16" t="n">
        <x:v>2.489788798094958</x:v>
      </x:c>
      <x:c r="I16" t="n">
        <x:v>1.732234637050183</x:v>
      </x:c>
      <x:c r="J16" t="n">
        <x:v>1.958798867495954</x:v>
      </x:c>
      <x:c r="K16" t="n">
        <x:v>2.209573625062782</x:v>
      </x:c>
      <x:c r="L16" t="n">
        <x:v>2.693891681920914</x:v>
      </x:c>
      <x:c r="M16" t="n">
        <x:v>2.05596698011568</x:v>
      </x:c>
      <x:c r="N16" t="n">
        <x:v>1.796756808732455</x:v>
      </x:c>
      <x:c r="O16" t="n">
        <x:v>2.193421516162295</x:v>
      </x:c>
      <x:c r="P16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Benchmark</x:t>
        </x:is>
      </x:c>
      <x:c r="B1" s="1" t="inlineStr">
        <x:is>
          <x:t xml:space="preserve">17 | SrAl2O4</x:t>
        </x:is>
      </x:c>
      <x:c r="C1" s="1" t="inlineStr">
        <x:is>
          <x:t xml:space="preserve">111 | Ba2MgSi2O7</x:t>
        </x:is>
      </x:c>
      <x:c r="D1" s="1" t="inlineStr">
        <x:is>
          <x:t xml:space="preserve">142 | Ba2Ca(BO3)2</x:t>
        </x:is>
      </x:c>
      <x:c r="E1" s="1" t="inlineStr">
        <x:is>
          <x:t xml:space="preserve">144 | Ba2Mg(PO4)2</x:t>
        </x:is>
      </x:c>
      <x:c r="F1" s="1" t="inlineStr">
        <x:is>
          <x:t xml:space="preserve">153 | Ba3Si6(NO6)2</x:t>
        </x:is>
      </x:c>
      <x:c r="G1" s="1" t="inlineStr">
        <x:is>
          <x:t xml:space="preserve">180 | Ba6Y2Al4O15</x:t>
        </x:is>
      </x:c>
      <x:c r="H1" s="1" t="inlineStr">
        <x:is>
          <x:t xml:space="preserve">14 | K2RbNaLi12(SiO4)4</x:t>
        </x:is>
      </x:c>
      <x:c r="I1" s="1" t="inlineStr">
        <x:is>
          <x:t xml:space="preserve">15 | Rb2ZrSi2O7</x:t>
        </x:is>
      </x:c>
      <x:c r="J1" s="1" t="inlineStr">
        <x:is>
          <x:t xml:space="preserve">16 | Sr2LiSiO4F</x:t>
        </x:is>
      </x:c>
      <x:c r="K1" s="1" t="inlineStr">
        <x:is>
          <x:t xml:space="preserve">95 | Na3YSi2O7</x:t>
        </x:is>
      </x:c>
      <x:c r="L1" s="1" t="inlineStr">
        <x:is>
          <x:t xml:space="preserve">157 | BaNa(B3O5)3</x:t>
        </x:is>
      </x:c>
      <x:c r="M1" s="1" t="inlineStr">
        <x:is>
          <x:t xml:space="preserve">171 | BaLi2SiO4</x:t>
        </x:is>
      </x:c>
      <x:c r="N1" s="1" t="inlineStr">
        <x:is>
          <x:t xml:space="preserve">261 | NaCaPO4</x:t>
        </x:is>
      </x:c>
      <x:c r="O1" s="1" t="inlineStr">
        <x:is>
          <x:t xml:space="preserve">283 | RbLi7(SiO4)2</x:t>
        </x:is>
      </x:c>
      <x:c r="P1" s="1" t="inlineStr">
        <x:is>
          <x:t xml:space="preserve">199 | Cs2BaP2O7</x:t>
        </x:is>
      </x:c>
    </x:row>
    <x:row r="2">
      <x:c r="A2" s="1" t="inlineStr">
        <x:is>
          <x:t xml:space="preserve">17 | SrAl2O4</x:t>
        </x:is>
      </x:c>
      <x:c r="B2" t="n">
        <x:v>0</x:v>
      </x:c>
      <x:c r="C2" t="n">
        <x:v>0.3843147033080078</x:v>
      </x:c>
      <x:c r="D2" t="n">
        <x:v>0.5234193681894014</x:v>
      </x:c>
      <x:c r="E2" t="n">
        <x:v>0.5018759029893203</x:v>
      </x:c>
      <x:c r="F2" t="n">
        <x:v>0.5123618158273781</x:v>
      </x:c>
      <x:c r="G2" t="n">
        <x:v>0.478064447046718</x:v>
      </x:c>
      <x:c r="H2" t="n">
        <x:v>0.9291399519008832</x:v>
      </x:c>
      <x:c r="I2" t="n">
        <x:v>0.6092745497612058</x:v>
      </x:c>
      <x:c r="J2" t="n">
        <x:v>0.7086134941728047</x:v>
      </x:c>
      <x:c r="K2" t="n">
        <x:v>0.7617530188763588</x:v>
      </x:c>
      <x:c r="L2" t="n">
        <x:v>0.818880934227539</x:v>
      </x:c>
      <x:c r="M2" t="n">
        <x:v>0.8006064446239872</x:v>
      </x:c>
      <x:c r="N2" t="n">
        <x:v>0.6555989497910641</x:v>
      </x:c>
      <x:c r="O2" t="n">
        <x:v>0.898102796477669</x:v>
      </x:c>
      <x:c r="P2" t="n">
        <x:v>0.7718260057257819</x:v>
      </x:c>
    </x:row>
    <x:row r="3">
      <x:c r="A3" s="1" t="inlineStr">
        <x:is>
          <x:t xml:space="preserve">111 | Ba2MgSi2O7</x:t>
        </x:is>
      </x:c>
      <x:c r="B3" t="n">
        <x:v>0.3843147033080078</x:v>
      </x:c>
      <x:c r="C3" t="n">
        <x:v>0</x:v>
      </x:c>
      <x:c r="D3" t="n">
        <x:v>0.4305993298593129</x:v>
      </x:c>
      <x:c r="E3" t="n">
        <x:v>0.3504977743428428</x:v>
      </x:c>
      <x:c r="F3" t="n">
        <x:v>0.4674388917980694</x:v>
      </x:c>
      <x:c r="G3" t="n">
        <x:v>0.4253603784899702</x:v>
      </x:c>
      <x:c r="H3" t="n">
        <x:v>0.8920809497970407</x:v>
      </x:c>
      <x:c r="I3" t="n">
        <x:v>0.6130090220069475</x:v>
      </x:c>
      <x:c r="J3" t="n">
        <x:v>0.6535542270057172</x:v>
      </x:c>
      <x:c r="K3" t="n">
        <x:v>0.7892576963794055</x:v>
      </x:c>
      <x:c r="L3" t="n">
        <x:v>0.7810700177078967</x:v>
      </x:c>
      <x:c r="M3" t="n">
        <x:v>0.7364588260842077</x:v>
      </x:c>
      <x:c r="N3" t="n">
        <x:v>0.6725983460712823</x:v>
      </x:c>
      <x:c r="O3" t="n">
        <x:v>0.8679056791670072</x:v>
      </x:c>
      <x:c r="P3" t="n">
        <x:v>0.665810144941719</x:v>
      </x:c>
    </x:row>
    <x:row r="4">
      <x:c r="A4" s="1" t="inlineStr">
        <x:is>
          <x:t xml:space="preserve">142 | Ba2Ca(BO3)2</x:t>
        </x:is>
      </x:c>
      <x:c r="B4" t="n">
        <x:v>0.5234193681894014</x:v>
      </x:c>
      <x:c r="C4" t="n">
        <x:v>0.4305993298593129</x:v>
      </x:c>
      <x:c r="D4" t="n">
        <x:v>0</x:v>
      </x:c>
      <x:c r="E4" t="n">
        <x:v>0.5383753349739063</x:v>
      </x:c>
      <x:c r="F4" t="n">
        <x:v>0.5674048148005193</x:v>
      </x:c>
      <x:c r="G4" t="n">
        <x:v>0.4691036537970255</x:v>
      </x:c>
      <x:c r="H4" t="n">
        <x:v>0.9819453108056372</x:v>
      </x:c>
      <x:c r="I4" t="n">
        <x:v>0.6915512335561429</x:v>
      </x:c>
      <x:c r="J4" t="n">
        <x:v>0.6629650165473779</x:v>
      </x:c>
      <x:c r="K4" t="n">
        <x:v>0.8409850444453292</x:v>
      </x:c>
      <x:c r="L4" t="n">
        <x:v>0.7750403469868519</x:v>
      </x:c>
      <x:c r="M4" t="n">
        <x:v>0.7740571853910471</x:v>
      </x:c>
      <x:c r="N4" t="n">
        <x:v>0.7595213614287609</x:v>
      </x:c>
      <x:c r="O4" t="n">
        <x:v>0.856653915033771</x:v>
      </x:c>
      <x:c r="P4" t="n">
        <x:v>0.7466007176342374</x:v>
      </x:c>
    </x:row>
    <x:row r="5">
      <x:c r="A5" s="1" t="inlineStr">
        <x:is>
          <x:t xml:space="preserve">144 | Ba2Mg(PO4)2</x:t>
        </x:is>
      </x:c>
      <x:c r="B5" t="n">
        <x:v>0.5018759029893203</x:v>
      </x:c>
      <x:c r="C5" t="n">
        <x:v>0.3504977743428428</x:v>
      </x:c>
      <x:c r="D5" t="n">
        <x:v>0.5383753349739063</x:v>
      </x:c>
      <x:c r="E5" t="n">
        <x:v>0</x:v>
      </x:c>
      <x:c r="F5" t="n">
        <x:v>0.5148688892626379</x:v>
      </x:c>
      <x:c r="G5" t="n">
        <x:v>0.567878381990425</x:v>
      </x:c>
      <x:c r="H5" t="n">
        <x:v>1</x:v>
      </x:c>
      <x:c r="I5" t="n">
        <x:v>0.7268710543795951</x:v>
      </x:c>
      <x:c r="J5" t="n">
        <x:v>0.7182743371168859</x:v>
      </x:c>
      <x:c r="K5" t="n">
        <x:v>0.8097014980147804</x:v>
      </x:c>
      <x:c r="L5" t="n">
        <x:v>0.8460869878876911</x:v>
      </x:c>
      <x:c r="M5" t="n">
        <x:v>0.8044215033911355</x:v>
      </x:c>
      <x:c r="N5" t="n">
        <x:v>0.6490844098390522</x:v>
      </x:c>
      <x:c r="O5" t="n">
        <x:v>0.8827182593511852</x:v>
      </x:c>
      <x:c r="P5" t="n">
        <x:v>0.5897795751279372</x:v>
      </x:c>
    </x:row>
    <x:row r="6">
      <x:c r="A6" s="1" t="inlineStr">
        <x:is>
          <x:t xml:space="preserve">153 | Ba3Si6(NO6)2</x:t>
        </x:is>
      </x:c>
      <x:c r="B6" t="n">
        <x:v>0.5123618158273781</x:v>
      </x:c>
      <x:c r="C6" t="n">
        <x:v>0.4674388917980694</x:v>
      </x:c>
      <x:c r="D6" t="n">
        <x:v>0.5674048148005193</x:v>
      </x:c>
      <x:c r="E6" t="n">
        <x:v>0.5148688892626379</x:v>
      </x:c>
      <x:c r="F6" t="n">
        <x:v>0</x:v>
      </x:c>
      <x:c r="G6" t="n">
        <x:v>0.5662748530413061</x:v>
      </x:c>
      <x:c r="H6" t="n">
        <x:v>0.9394719042978665</x:v>
      </x:c>
      <x:c r="I6" t="n">
        <x:v>0.736219260144006</x:v>
      </x:c>
      <x:c r="J6" t="n">
        <x:v>0.7508255090956926</x:v>
      </x:c>
      <x:c r="K6" t="n">
        <x:v>0.73439153402668</x:v>
      </x:c>
      <x:c r="L6" t="n">
        <x:v>0.7213899714220618</x:v>
      </x:c>
      <x:c r="M6" t="n">
        <x:v>0.7287164480708459</x:v>
      </x:c>
      <x:c r="N6" t="n">
        <x:v>0.7369071554772526</x:v>
      </x:c>
      <x:c r="O6" t="n">
        <x:v>0.9651342779050056</x:v>
      </x:c>
      <x:c r="P6" t="n">
        <x:v>0.7739856663646159</x:v>
      </x:c>
    </x:row>
    <x:row r="7">
      <x:c r="A7" s="1" t="inlineStr">
        <x:is>
          <x:t xml:space="preserve">180 | Ba6Y2Al4O15</x:t>
        </x:is>
      </x:c>
      <x:c r="B7" t="n">
        <x:v>0.478064447046718</x:v>
      </x:c>
      <x:c r="C7" t="n">
        <x:v>0.4253603784899702</x:v>
      </x:c>
      <x:c r="D7" t="n">
        <x:v>0.4691036537970255</x:v>
      </x:c>
      <x:c r="E7" t="n">
        <x:v>0.567878381990425</x:v>
      </x:c>
      <x:c r="F7" t="n">
        <x:v>0.5662748530413061</x:v>
      </x:c>
      <x:c r="G7" t="n">
        <x:v>0</x:v>
      </x:c>
      <x:c r="H7" t="n">
        <x:v>0.9660536722926371</x:v>
      </x:c>
      <x:c r="I7" t="n">
        <x:v>0.6436105030740051</x:v>
      </x:c>
      <x:c r="J7" t="n">
        <x:v>0.701614745038793</x:v>
      </x:c>
      <x:c r="K7" t="n">
        <x:v>0.8062352264063763</x:v>
      </x:c>
      <x:c r="L7" t="n">
        <x:v>0.896815447321894</x:v>
      </x:c>
      <x:c r="M7" t="n">
        <x:v>0.8227268504799006</x:v>
      </x:c>
      <x:c r="N7" t="n">
        <x:v>0.7431618355712792</x:v>
      </x:c>
      <x:c r="O7" t="n">
        <x:v>0.9531034653512813</x:v>
      </x:c>
      <x:c r="P7" t="n">
        <x:v>0.7461973829861911</x:v>
      </x:c>
    </x:row>
    <x:row r="8">
      <x:c r="A8" s="1" t="inlineStr">
        <x:is>
          <x:t xml:space="preserve">14 | K2RbNaLi12(SiO4)4</x:t>
        </x:is>
      </x:c>
      <x:c r="B8" t="n">
        <x:v>0.9291399519008832</x:v>
      </x:c>
      <x:c r="C8" t="n">
        <x:v>0.8920809497970407</x:v>
      </x:c>
      <x:c r="D8" t="n">
        <x:v>0.9819453108056372</x:v>
      </x:c>
      <x:c r="E8" t="n">
        <x:v>1</x:v>
      </x:c>
      <x:c r="F8" t="n">
        <x:v>0.9394719042978665</x:v>
      </x:c>
      <x:c r="G8" t="n">
        <x:v>0.9660536722926369</x:v>
      </x:c>
      <x:c r="H8" t="n">
        <x:v>0</x:v>
      </x:c>
      <x:c r="I8" t="n">
        <x:v>0.7851963569532828</x:v>
      </x:c>
      <x:c r="J8" t="n">
        <x:v>0.6556966702271779</x:v>
      </x:c>
      <x:c r="K8" t="n">
        <x:v>0.7329750065067575</x:v>
      </x:c>
      <x:c r="L8" t="n">
        <x:v>0.9680716182788447</x:v>
      </x:c>
      <x:c r="M8" t="n">
        <x:v>0.576674065855751</x:v>
      </x:c>
      <x:c r="N8" t="n">
        <x:v>0.7693488469124367</x:v>
      </x:c>
      <x:c r="O8" t="n">
        <x:v>0.6479642399037119</x:v>
      </x:c>
      <x:c r="P8" t="n">
        <x:v>0.8096951806110181</x:v>
      </x:c>
    </x:row>
    <x:row r="9">
      <x:c r="A9" s="1" t="inlineStr">
        <x:is>
          <x:t xml:space="preserve">15 | Rb2ZrSi2O7</x:t>
        </x:is>
      </x:c>
      <x:c r="B9" t="n">
        <x:v>0.6092745497612058</x:v>
      </x:c>
      <x:c r="C9" t="n">
        <x:v>0.6130090220069475</x:v>
      </x:c>
      <x:c r="D9" t="n">
        <x:v>0.6915512335561429</x:v>
      </x:c>
      <x:c r="E9" t="n">
        <x:v>0.7268710543795951</x:v>
      </x:c>
      <x:c r="F9" t="n">
        <x:v>0.736219260144006</x:v>
      </x:c>
      <x:c r="G9" t="n">
        <x:v>0.6436105030740051</x:v>
      </x:c>
      <x:c r="H9" t="n">
        <x:v>0.7851963569532828</x:v>
      </x:c>
      <x:c r="I9" t="n">
        <x:v>0</x:v>
      </x:c>
      <x:c r="J9" t="n">
        <x:v>0.5719778800923953</x:v>
      </x:c>
      <x:c r="K9" t="n">
        <x:v>0.6460792409034275</x:v>
      </x:c>
      <x:c r="L9" t="n">
        <x:v>0.7383177877460507</x:v>
      </x:c>
      <x:c r="M9" t="n">
        <x:v>0.6440154125027195</x:v>
      </x:c>
      <x:c r="N9" t="n">
        <x:v>0.5425933053808513</x:v>
      </x:c>
      <x:c r="O9" t="n">
        <x:v>0.6681021476580831</x:v>
      </x:c>
      <x:c r="P9" t="n">
        <x:v>0.5633337407494902</x:v>
      </x:c>
    </x:row>
    <x:row r="10">
      <x:c r="A10" s="1" t="inlineStr">
        <x:is>
          <x:t xml:space="preserve">16 | Sr2LiSiO4F</x:t>
        </x:is>
      </x:c>
      <x:c r="B10" t="n">
        <x:v>0.7086134941728047</x:v>
      </x:c>
      <x:c r="C10" t="n">
        <x:v>0.6535542270057172</x:v>
      </x:c>
      <x:c r="D10" t="n">
        <x:v>0.6629650165473779</x:v>
      </x:c>
      <x:c r="E10" t="n">
        <x:v>0.7182743371168858</x:v>
      </x:c>
      <x:c r="F10" t="n">
        <x:v>0.7508255090956926</x:v>
      </x:c>
      <x:c r="G10" t="n">
        <x:v>0.701614745038793</x:v>
      </x:c>
      <x:c r="H10" t="n">
        <x:v>0.6556966702271779</x:v>
      </x:c>
      <x:c r="I10" t="n">
        <x:v>0.5719778800923953</x:v>
      </x:c>
      <x:c r="J10" t="n">
        <x:v>0</x:v>
      </x:c>
      <x:c r="K10" t="n">
        <x:v>0.7051760501580906</x:v>
      </x:c>
      <x:c r="L10" t="n">
        <x:v>0.7950586739256695</x:v>
      </x:c>
      <x:c r="M10" t="n">
        <x:v>0.5651301048860436</x:v>
      </x:c>
      <x:c r="N10" t="n">
        <x:v>0.5259931753416429</x:v>
      </x:c>
      <x:c r="O10" t="n">
        <x:v>0.6493033998395912</x:v>
      </x:c>
      <x:c r="P10" t="n">
        <x:v>0.6370138720245397</x:v>
      </x:c>
    </x:row>
    <x:row r="11">
      <x:c r="A11" s="1" t="inlineStr">
        <x:is>
          <x:t xml:space="preserve">95 | Na3YSi2O7</x:t>
        </x:is>
      </x:c>
      <x:c r="B11" t="n">
        <x:v>0.7617530188763588</x:v>
      </x:c>
      <x:c r="C11" t="n">
        <x:v>0.7892576963794055</x:v>
      </x:c>
      <x:c r="D11" t="n">
        <x:v>0.8409850444453292</x:v>
      </x:c>
      <x:c r="E11" t="n">
        <x:v>0.8097014980147804</x:v>
      </x:c>
      <x:c r="F11" t="n">
        <x:v>0.73439153402668</x:v>
      </x:c>
      <x:c r="G11" t="n">
        <x:v>0.8062352264063763</x:v>
      </x:c>
      <x:c r="H11" t="n">
        <x:v>0.7329750065067575</x:v>
      </x:c>
      <x:c r="I11" t="n">
        <x:v>0.6460792409034275</x:v>
      </x:c>
      <x:c r="J11" t="n">
        <x:v>0.7051760501580906</x:v>
      </x:c>
      <x:c r="K11" t="n">
        <x:v>0</x:v>
      </x:c>
      <x:c r="L11" t="n">
        <x:v>0.7949752150618702</x:v>
      </x:c>
      <x:c r="M11" t="n">
        <x:v>0.5350080377776585</x:v>
      </x:c>
      <x:c r="N11" t="n">
        <x:v>0.5772624914206947</x:v>
      </x:c>
      <x:c r="O11" t="n">
        <x:v>0.7286803233412994</x:v>
      </x:c>
      <x:c r="P11" t="n">
        <x:v>0.7185674209746034</x:v>
      </x:c>
    </x:row>
    <x:row r="12">
      <x:c r="A12" s="1" t="inlineStr">
        <x:is>
          <x:t xml:space="preserve">157 | BaNa(B3O5)3</x:t>
        </x:is>
      </x:c>
      <x:c r="B12" t="n">
        <x:v>0.818880934227539</x:v>
      </x:c>
      <x:c r="C12" t="n">
        <x:v>0.7810700177078967</x:v>
      </x:c>
      <x:c r="D12" t="n">
        <x:v>0.7750403469868519</x:v>
      </x:c>
      <x:c r="E12" t="n">
        <x:v>0.8460869878876911</x:v>
      </x:c>
      <x:c r="F12" t="n">
        <x:v>0.7213899714220618</x:v>
      </x:c>
      <x:c r="G12" t="n">
        <x:v>0.896815447321894</x:v>
      </x:c>
      <x:c r="H12" t="n">
        <x:v>0.9680716182788447</x:v>
      </x:c>
      <x:c r="I12" t="n">
        <x:v>0.7383177877460506</x:v>
      </x:c>
      <x:c r="J12" t="n">
        <x:v>0.7950586739256695</x:v>
      </x:c>
      <x:c r="K12" t="n">
        <x:v>0.7949752150618702</x:v>
      </x:c>
      <x:c r="L12" t="n">
        <x:v>0</x:v>
      </x:c>
      <x:c r="M12" t="n">
        <x:v>0.7277421604652743</x:v>
      </x:c>
      <x:c r="N12" t="n">
        <x:v>0.8478940280978957</x:v>
      </x:c>
      <x:c r="O12" t="n">
        <x:v>0.871782996031617</x:v>
      </x:c>
      <x:c r="P12" t="n">
        <x:v>0.8760707388548079</x:v>
      </x:c>
    </x:row>
    <x:row r="13">
      <x:c r="A13" s="1" t="inlineStr">
        <x:is>
          <x:t xml:space="preserve">171 | BaLi2SiO4</x:t>
        </x:is>
      </x:c>
      <x:c r="B13" t="n">
        <x:v>0.8006064446239872</x:v>
      </x:c>
      <x:c r="C13" t="n">
        <x:v>0.7364588260842077</x:v>
      </x:c>
      <x:c r="D13" t="n">
        <x:v>0.7740571853910471</x:v>
      </x:c>
      <x:c r="E13" t="n">
        <x:v>0.8044215033911355</x:v>
      </x:c>
      <x:c r="F13" t="n">
        <x:v>0.7287164480708459</x:v>
      </x:c>
      <x:c r="G13" t="n">
        <x:v>0.8227268504799006</x:v>
      </x:c>
      <x:c r="H13" t="n">
        <x:v>0.576674065855751</x:v>
      </x:c>
      <x:c r="I13" t="n">
        <x:v>0.6440154125027195</x:v>
      </x:c>
      <x:c r="J13" t="n">
        <x:v>0.5651301048860436</x:v>
      </x:c>
      <x:c r="K13" t="n">
        <x:v>0.5350080377776585</x:v>
      </x:c>
      <x:c r="L13" t="n">
        <x:v>0.7277421604652743</x:v>
      </x:c>
      <x:c r="M13" t="n">
        <x:v>0</x:v>
      </x:c>
      <x:c r="N13" t="n">
        <x:v>0.6193393515412521</x:v>
      </x:c>
      <x:c r="O13" t="n">
        <x:v>0.555676996102238</x:v>
      </x:c>
      <x:c r="P13" t="n">
        <x:v>0.6686135613465657</x:v>
      </x:c>
    </x:row>
    <x:row r="14">
      <x:c r="A14" s="1" t="inlineStr">
        <x:is>
          <x:t xml:space="preserve">261 | NaCaPO4</x:t>
        </x:is>
      </x:c>
      <x:c r="B14" t="n">
        <x:v>0.6555989497910641</x:v>
      </x:c>
      <x:c r="C14" t="n">
        <x:v>0.6725983460712823</x:v>
      </x:c>
      <x:c r="D14" t="n">
        <x:v>0.7595213614287609</x:v>
      </x:c>
      <x:c r="E14" t="n">
        <x:v>0.6490844098390522</x:v>
      </x:c>
      <x:c r="F14" t="n">
        <x:v>0.7369071554772526</x:v>
      </x:c>
      <x:c r="G14" t="n">
        <x:v>0.7431618355712792</x:v>
      </x:c>
      <x:c r="H14" t="n">
        <x:v>0.7693488469124367</x:v>
      </x:c>
      <x:c r="I14" t="n">
        <x:v>0.5425933053808513</x:v>
      </x:c>
      <x:c r="J14" t="n">
        <x:v>0.5259931753416429</x:v>
      </x:c>
      <x:c r="K14" t="n">
        <x:v>0.5772624914206947</x:v>
      </x:c>
      <x:c r="L14" t="n">
        <x:v>0.8478940280978957</x:v>
      </x:c>
      <x:c r="M14" t="n">
        <x:v>0.6193393515412521</x:v>
      </x:c>
      <x:c r="N14" t="n">
        <x:v>0</x:v>
      </x:c>
      <x:c r="O14" t="n">
        <x:v>0.6756454912650113</x:v>
      </x:c>
      <x:c r="P14" t="n">
        <x:v>0.5843167620779118</x:v>
      </x:c>
    </x:row>
    <x:row r="15">
      <x:c r="A15" s="1" t="inlineStr">
        <x:is>
          <x:t xml:space="preserve">283 | RbLi7(SiO4)2</x:t>
        </x:is>
      </x:c>
      <x:c r="B15" t="n">
        <x:v>0.898102796477669</x:v>
      </x:c>
      <x:c r="C15" t="n">
        <x:v>0.8679056791670072</x:v>
      </x:c>
      <x:c r="D15" t="n">
        <x:v>0.856653915033771</x:v>
      </x:c>
      <x:c r="E15" t="n">
        <x:v>0.8827182593511852</x:v>
      </x:c>
      <x:c r="F15" t="n">
        <x:v>0.9651342779050056</x:v>
      </x:c>
      <x:c r="G15" t="n">
        <x:v>0.9531034653512813</x:v>
      </x:c>
      <x:c r="H15" t="n">
        <x:v>0.6479642399037119</x:v>
      </x:c>
      <x:c r="I15" t="n">
        <x:v>0.6681021476580831</x:v>
      </x:c>
      <x:c r="J15" t="n">
        <x:v>0.6493033998395912</x:v>
      </x:c>
      <x:c r="K15" t="n">
        <x:v>0.7286803233412994</x:v>
      </x:c>
      <x:c r="L15" t="n">
        <x:v>0.871782996031617</x:v>
      </x:c>
      <x:c r="M15" t="n">
        <x:v>0.555676996102238</x:v>
      </x:c>
      <x:c r="N15" t="n">
        <x:v>0.6756454912650113</x:v>
      </x:c>
      <x:c r="O15" t="n">
        <x:v>0</x:v>
      </x:c>
      <x:c r="P15" t="n">
        <x:v>0.7133146522484227</x:v>
      </x:c>
    </x:row>
    <x:row r="16">
      <x:c r="A16" s="1" t="inlineStr">
        <x:is>
          <x:t xml:space="preserve">199 | Cs2BaP2O7</x:t>
        </x:is>
      </x:c>
      <x:c r="B16" t="n">
        <x:v>0.7718260057257819</x:v>
      </x:c>
      <x:c r="C16" t="n">
        <x:v>0.665810144941719</x:v>
      </x:c>
      <x:c r="D16" t="n">
        <x:v>0.7466007176342374</x:v>
      </x:c>
      <x:c r="E16" t="n">
        <x:v>0.5897795751279372</x:v>
      </x:c>
      <x:c r="F16" t="n">
        <x:v>0.7739856663646159</x:v>
      </x:c>
      <x:c r="G16" t="n">
        <x:v>0.7461973829861911</x:v>
      </x:c>
      <x:c r="H16" t="n">
        <x:v>0.8096951806110181</x:v>
      </x:c>
      <x:c r="I16" t="n">
        <x:v>0.5633337407494902</x:v>
      </x:c>
      <x:c r="J16" t="n">
        <x:v>0.6370138720245397</x:v>
      </x:c>
      <x:c r="K16" t="n">
        <x:v>0.7185674209746034</x:v>
      </x:c>
      <x:c r="L16" t="n">
        <x:v>0.8760707388548079</x:v>
      </x:c>
      <x:c r="M16" t="n">
        <x:v>0.6686135613465657</x:v>
      </x:c>
      <x:c r="N16" t="n">
        <x:v>0.5843167620779118</x:v>
      </x:c>
      <x:c r="O16" t="n">
        <x:v>0.7133146522484227</x:v>
      </x:c>
      <x:c r="P16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Number_of_benchmarks</x:t>
        </x:is>
      </x:c>
      <x:c r="B2" t="n">
        <x:v>15</x:v>
      </x:c>
    </x:row>
    <x:row r="3">
      <x:c r="A3" t="inlineStr">
        <x:is>
          <x:t xml:space="preserve">Number_of_unique_pairs</x:t>
        </x:is>
      </x:c>
      <x:c r="B3" t="n">
        <x:v>105</x:v>
      </x:c>
    </x:row>
    <x:row r="4">
      <x:c r="A4" t="inlineStr">
        <x:is>
          <x:t xml:space="preserve">Maximum_raw_distance</x:t>
        </x:is>
      </x:c>
      <x:c r="B4" t="n">
        <x:v>3.074970504599144</x:v>
      </x:c>
    </x:row>
    <x:row r="5">
      <x:c r="A5" t="inlineStr">
        <x:is>
          <x:t xml:space="preserve">Mean_raw_distance_all_pairs</x:t>
        </x:is>
      </x:c>
      <x:c r="B5" t="n">
        <x:v>2.170015623295822</x:v>
      </x:c>
    </x:row>
    <x:row r="6">
      <x:c r="A6" t="inlineStr">
        <x:is>
          <x:t xml:space="preserve">Median_raw_distance_all_pairs</x:t>
        </x:is>
      </x:c>
      <x:c r="B6" t="n">
        <x:v>2.21825288443646</x:v>
      </x:c>
    </x:row>
    <x:row r="7">
      <x:c r="A7" t="inlineStr">
        <x:is>
          <x:t xml:space="preserve">Mean_raw_distance_same_cluster</x:t>
        </x:is>
      </x:c>
      <x:c r="B7" t="n">
        <x:v>1.889284733916353</x:v>
      </x:c>
    </x:row>
    <x:row r="8">
      <x:c r="A8" t="inlineStr">
        <x:is>
          <x:t xml:space="preserve">Median_raw_distance_same_cluster</x:t>
        </x:is>
      </x:c>
      <x:c r="B8" t="n">
        <x:v>1.773255743273699</x:v>
      </x:c>
    </x:row>
    <x:row r="9">
      <x:c r="A9" t="inlineStr">
        <x:is>
          <x:t xml:space="preserve">Mean_raw_distance_different_cluster</x:t>
        </x:is>
      </x:c>
      <x:c r="B9" t="n">
        <x:v>2.364716078833196</x:v>
      </x:c>
    </x:row>
    <x:row r="10">
      <x:c r="A10" t="inlineStr">
        <x:is>
          <x:t xml:space="preserve">Median_raw_distance_different_cluster</x:t>
        </x:is>
      </x:c>
      <x:c r="B10" t="n">
        <x:v>2.322136039288158</x:v>
      </x:c>
    </x:row>
    <x:row r="11">
      <x:c r="A11" t="inlineStr">
        <x:is>
          <x:t xml:space="preserve">Mean_normalized_distance_all_pairs</x:t>
        </x:is>
      </x:c>
      <x:c r="B11" t="n">
        <x:v>0.7057029067596559</x:v>
      </x:c>
    </x:row>
    <x:row r="12">
      <x:c r="A12" t="inlineStr">
        <x:is>
          <x:t xml:space="preserve">Median_normalized_distance_all_pairs</x:t>
        </x:is>
      </x:c>
      <x:c r="B12" t="n">
        <x:v>0.7213899714220618</x:v>
      </x:c>
    </x:row>
    <x:row r="13">
      <x:c r="A13" t="inlineStr">
        <x:is>
          <x:t xml:space="preserve">Mean_normalized_distance_same_cluster</x:t>
        </x:is>
      </x:c>
      <x:c r="B13" t="n">
        <x:v>0.61440743288126</x:v>
      </x:c>
    </x:row>
    <x:row r="14">
      <x:c r="A14" t="inlineStr">
        <x:is>
          <x:t xml:space="preserve">Median_normalized_distance_same_cluster</x:t>
        </x:is>
      </x:c>
      <x:c r="B14" t="n">
        <x:v>0.576674065855751</x:v>
      </x:c>
    </x:row>
    <x:row r="15">
      <x:c r="A15" t="inlineStr">
        <x:is>
          <x:t xml:space="preserve">Mean_normalized_distance_different_cluster</x:t>
        </x:is>
      </x:c>
      <x:c r="B15" t="n">
        <x:v>0.769020735417253</x:v>
      </x:c>
    </x:row>
    <x:row r="16">
      <x:c r="A16" t="inlineStr">
        <x:is>
          <x:t xml:space="preserve">Median_normalized_distance_different_cluster</x:t>
        </x:is>
      </x:c>
      <x:c r="B16" t="n">
        <x:v>0.7551734352622268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</x:cols>
  <x:sheetData>
    <x:row r="1">
      <x:c r="A1" s="7" t="str">
        <x:v>Composition</x:v>
      </x:c>
      <x:c r="B1" s="7" t="str">
        <x:v>FWHM_nm</x:v>
      </x:c>
    </x:row>
    <x:row r="2">
      <x:c r="A2" t="str">
        <x:v>RbLi7(SiO4)2</x:v>
      </x:c>
      <x:c r="B2" s="12" t="n">
        <x:v>42</x:v>
      </x:c>
    </x:row>
    <x:row r="3">
      <x:c r="A3" t="str">
        <x:v>K2RbNaLi12(SiO4)4</x:v>
      </x:c>
      <x:c r="B3" s="12" t="n">
        <x:v>51</x:v>
      </x:c>
    </x:row>
    <x:row r="4">
      <x:c r="A4" t="str">
        <x:v>BaLi2SiO4</x:v>
      </x:c>
      <x:c r="B4" s="12" t="n">
        <x:v>61</x:v>
      </x:c>
    </x:row>
    <x:row r="5">
      <x:c r="A5" t="str">
        <x:v>BaNa(B3O5)3</x:v>
      </x:c>
      <x:c r="B5" s="12" t="n">
        <x:v>61</x:v>
      </x:c>
    </x:row>
    <x:row r="6">
      <x:c r="A6" t="str">
        <x:v>NaCaPO4</x:v>
      </x:c>
      <x:c r="B6" s="12" t="n">
        <x:v>65</x:v>
      </x:c>
    </x:row>
    <x:row r="7">
      <x:c r="A7" t="str">
        <x:v>Ba3Si6(NO6)2</x:v>
      </x:c>
      <x:c r="B7" s="12" t="n">
        <x:v>68</x:v>
      </x:c>
    </x:row>
    <x:row r="8">
      <x:c r="A8" t="str">
        <x:v>Ba6Y2Al4O15</x:v>
      </x:c>
      <x:c r="B8" s="12" t="n">
        <x:v>69</x:v>
      </x:c>
    </x:row>
    <x:row r="9">
      <x:c r="A9" t="str">
        <x:v>Ba2MgSi2O7</x:v>
      </x:c>
      <x:c r="B9" s="12" t="n">
        <x:v>75</x:v>
      </x:c>
    </x:row>
    <x:row r="10">
      <x:c r="A10" t="str">
        <x:v>Ba2Ca(BO3)2</x:v>
      </x:c>
      <x:c r="B10" s="12" t="n">
        <x:v>75</x:v>
      </x:c>
    </x:row>
    <x:row r="11">
      <x:c r="A11" t="str">
        <x:v>SrAl2O4</x:v>
      </x:c>
      <x:c r="B11" s="12" t="n">
        <x:v>77</x:v>
      </x:c>
    </x:row>
    <x:row r="12">
      <x:c r="A12" t="str">
        <x:v>Rb2ZrSi2O7</x:v>
      </x:c>
      <x:c r="B12" s="12" t="n">
        <x:v>91</x:v>
      </x:c>
    </x:row>
    <x:row r="13">
      <x:c r="A13" t="str">
        <x:v>Cs2BaP2O7</x:v>
      </x:c>
      <x:c r="B13" s="12" t="n">
        <x:v>100</x:v>
      </x:c>
    </x:row>
    <x:row r="14">
      <x:c r="A14" t="str">
        <x:v>Sr2LiSiO4F</x:v>
      </x:c>
      <x:c r="B14" s="12" t="n">
        <x:v>100</x:v>
      </x:c>
    </x:row>
    <x:row r="15">
      <x:c r="A15" t="str">
        <x:v>Na3YSi2O7</x:v>
      </x:c>
      <x:c r="B15" s="12" t="n">
        <x:v>105</x:v>
      </x:c>
    </x:row>
    <x:row r="16">
      <x:c r="A16" t="str">
        <x:v>Ba2Mg(PO4)2</x:v>
      </x:c>
      <x:c r="B16" s="12" t="n">
        <x:v>120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" t="str">
        <x:v>Metric</x:v>
      </x:c>
      <x:c r="B1" s="5" t="str">
        <x:v>Value</x:v>
      </x:c>
      <x:c r="D1" s="5" t="str">
        <x:v>Distance_Quartile</x:v>
      </x:c>
      <x:c r="E1" s="5" t="str">
        <x:v>n</x:v>
      </x:c>
      <x:c r="F1" s="5" t="str">
        <x:v>Distance_Min</x:v>
      </x:c>
      <x:c r="G1" s="5" t="str">
        <x:v>Distance_Max</x:v>
      </x:c>
      <x:c r="H1" s="5" t="str">
        <x:v>Mean_FWHM_Diff_nm</x:v>
      </x:c>
      <x:c r="I1" s="5" t="str">
        <x:v>Median_FWHM_Diff_nm</x:v>
      </x:c>
    </x:row>
    <x:row r="2">
      <x:c r="A2" t="str">
        <x:v>Spearman_rho</x:v>
      </x:c>
      <x:c r="B2" s="14" t="n">
        <x:v>0.18931408895489246</x:v>
      </x:c>
      <x:c r="D2" t="str">
        <x:v>Q1</x:v>
      </x:c>
      <x:c r="E2" t="n">
        <x:v>27</x:v>
      </x:c>
      <x:c r="F2" s="16" t="n">
        <x:v>0.3504977743428428</x:v>
      </x:c>
      <x:c r="G2" s="16" t="n">
        <x:v>0.6092745497612058</x:v>
      </x:c>
      <x:c r="H2" s="16" t="n">
        <x:v>21.62962962962963</x:v>
      </x:c>
      <x:c r="I2" s="16" t="n">
        <x:v>14</x:v>
      </x:c>
    </x:row>
    <x:row r="3">
      <x:c r="A3" t="str">
        <x:v>Spearman_p</x:v>
      </x:c>
      <x:c r="B3" s="14" t="n">
        <x:v>0.053088572667916806</x:v>
      </x:c>
      <x:c r="D3" t="str">
        <x:v>Q2</x:v>
      </x:c>
      <x:c r="E3" t="n">
        <x:v>26</x:v>
      </x:c>
      <x:c r="F3" s="16" t="n">
        <x:v>0.6130090220069475</x:v>
      </x:c>
      <x:c r="G3" s="16" t="n">
        <x:v>0.7213899714220618</x:v>
      </x:c>
      <x:c r="H3" s="16" t="n">
        <x:v>24.23076923076923</x:v>
      </x:c>
      <x:c r="I3" s="16" t="n">
        <x:v>22.5</x:v>
      </x:c>
    </x:row>
    <x:row r="4">
      <x:c r="A4" t="str">
        <x:v>Pearson_r</x:v>
      </x:c>
      <x:c r="B4" s="14" t="n">
        <x:v>0.17492370493876605</x:v>
      </x:c>
      <x:c r="D4" t="str">
        <x:v>Q3</x:v>
      </x:c>
      <x:c r="E4" t="n">
        <x:v>26</x:v>
      </x:c>
      <x:c r="F4" s="16" t="n">
        <x:v>0.7268710543795951</x:v>
      </x:c>
      <x:c r="G4" s="16" t="n">
        <x:v>0.7950586739256695</x:v>
      </x:c>
      <x:c r="H4" s="16" t="n">
        <x:v>25.153846153846153</x:v>
      </x:c>
      <x:c r="I4" s="16" t="n">
        <x:v>26.5</x:v>
      </x:c>
    </x:row>
    <x:row r="5">
      <x:c r="A5" t="str">
        <x:v>Pearson_p</x:v>
      </x:c>
      <x:c r="B5" s="14" t="n">
        <x:v>0.07429930667141135</x:v>
      </x:c>
      <x:c r="D5" t="str">
        <x:v>Q4</x:v>
      </x:c>
      <x:c r="E5" t="n">
        <x:v>26</x:v>
      </x:c>
      <x:c r="F5" s="16" t="n">
        <x:v>0.8006064446239872</x:v>
      </x:c>
      <x:c r="G5" s="16" t="n">
        <x:v>1</x:v>
      </x:c>
      <x:c r="H5" s="16" t="n">
        <x:v>29.923076923076923</x:v>
      </x:c>
      <x:c r="I5" s="16" t="n">
        <x:v>26</x:v>
      </x:c>
    </x:row>
    <x:row r="6">
      <x:c r="A6" t="str">
        <x:v>Mean_FWHM_Diff_Same_Cluster_nm</x:v>
      </x:c>
      <x:c r="B6" s="14" t="n">
        <x:v>24.74418604651163</x:v>
      </x:c>
    </x:row>
    <x:row r="7">
      <x:c r="A7" t="str">
        <x:v>Mean_FWHM_Diff_Different_Cluster_nm</x:v>
      </x:c>
      <x:c r="B7" s="14" t="n">
        <x:v>25.516129032258064</x:v>
      </x:c>
    </x:row>
    <x:row r="8">
      <x:c r="A8" t="str">
        <x:v>Median_FWHM_Diff_Same_Cluster_nm</x:v>
      </x:c>
      <x:c r="B8" s="14" t="n">
        <x:v>19</x:v>
      </x:c>
    </x:row>
    <x:row r="9">
      <x:c r="A9" t="str">
        <x:v>Median_FWHM_Diff_Different_Cluster_nm</x:v>
      </x:c>
      <x:c r="B9" s="14" t="n">
        <x:v>24</x:v>
      </x:c>
    </x:row>
  </x:sheetData>
  <x:pageMargins left="0.7" right="0.7" top="0.75" bottom="0.75" header="0.3" footer="0.3"/>
</x:worksheet>
</file>