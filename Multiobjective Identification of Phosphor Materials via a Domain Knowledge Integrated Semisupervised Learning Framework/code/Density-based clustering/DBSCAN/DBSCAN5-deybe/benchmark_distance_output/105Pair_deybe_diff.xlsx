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f8dc7c5ff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ance_Matrix" sheetId="1" r:id="R817e2de89c3e4482"/>
    <x:sheet xmlns:r="http://schemas.openxmlformats.org/officeDocument/2006/relationships" name="Normalized_Distance_Matrix" sheetId="2" r:id="R5870015a07674fc1"/>
    <x:sheet xmlns:r="http://schemas.openxmlformats.org/officeDocument/2006/relationships" name="Pairwise_105" sheetId="3" r:id="R963b14efab6945fd"/>
    <x:sheet xmlns:r="http://schemas.openxmlformats.org/officeDocument/2006/relationships" name="Benchmark_PCA_Cluster" sheetId="4" r:id="R4748e835ee95473f"/>
    <x:sheet xmlns:r="http://schemas.openxmlformats.org/officeDocument/2006/relationships" name="Raw_Matrix_Sorted" sheetId="5" r:id="Rdc630afc0079455e"/>
    <x:sheet xmlns:r="http://schemas.openxmlformats.org/officeDocument/2006/relationships" name="Normalized_Matrix_Sorted" sheetId="6" r:id="Rca87018fd0f741b9"/>
    <x:sheet xmlns:r="http://schemas.openxmlformats.org/officeDocument/2006/relationships" name="Summary" sheetId="7" r:id="Rd2a9ef2375c54d81"/>
    <x:sheet xmlns:r="http://schemas.openxmlformats.org/officeDocument/2006/relationships" name="Benchmark_Properties" sheetId="8" r:id="R07e43e4f72774ecf"/>
    <x:sheet xmlns:r="http://schemas.openxmlformats.org/officeDocument/2006/relationships" name="Debye_Analysis" sheetId="9" r:id="R37d2ef7fd15d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0"/>
    <x:numFmt numFmtId="202" formatCode="0.000"/>
  </x:numFmts>
  <x:fonts count="3">
    <x:font>
      <x:sz val="11"/>
      <x:color theme="1"/>
      <x:name val="Calibri"/>
    </x:font>
    <x:font>
      <x:b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9cd26a6164dfa" /><Relationship Type="http://schemas.openxmlformats.org/officeDocument/2006/relationships/theme" Target="/xl/theme/theme1.xml" Id="Ra2968c317c9d4071" /><Relationship Type="http://schemas.openxmlformats.org/officeDocument/2006/relationships/sharedStrings" Target="/xl/sharedStrings.xml" Id="R1c8329ee8cc749bb" /><Relationship Type="http://schemas.openxmlformats.org/officeDocument/2006/relationships/worksheet" Target="/xl/worksheets/sheet1.xml" Id="R817e2de89c3e4482" /><Relationship Type="http://schemas.openxmlformats.org/officeDocument/2006/relationships/worksheet" Target="/xl/worksheets/sheet2.xml" Id="R5870015a07674fc1" /><Relationship Type="http://schemas.openxmlformats.org/officeDocument/2006/relationships/worksheet" Target="/xl/worksheets/sheet3.xml" Id="R963b14efab6945fd" /><Relationship Type="http://schemas.openxmlformats.org/officeDocument/2006/relationships/worksheet" Target="/xl/worksheets/sheet4.xml" Id="R4748e835ee95473f" /><Relationship Type="http://schemas.openxmlformats.org/officeDocument/2006/relationships/worksheet" Target="/xl/worksheets/sheet5.xml" Id="Rdc630afc0079455e" /><Relationship Type="http://schemas.openxmlformats.org/officeDocument/2006/relationships/worksheet" Target="/xl/worksheets/sheet6.xml" Id="Rca87018fd0f741b9" /><Relationship Type="http://schemas.openxmlformats.org/officeDocument/2006/relationships/worksheet" Target="/xl/worksheets/sheet7.xml" Id="Rd2a9ef2375c54d81" /><Relationship Type="http://schemas.openxmlformats.org/officeDocument/2006/relationships/worksheet" Target="/xl/worksheets/sheet8.xml" Id="R07e43e4f72774ecf" /><Relationship Type="http://schemas.openxmlformats.org/officeDocument/2006/relationships/worksheet" Target="/xl/worksheets/sheet9.xml" Id="R37d2ef7fd15d44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14 | K2RbNaLi12(SiO4)4</x:t>
        </x:is>
      </x:c>
      <x:c r="C1" s="1" t="inlineStr">
        <x:is>
          <x:t xml:space="preserve">15 | Rb2ZrSi2O7</x:t>
        </x:is>
      </x:c>
      <x:c r="D1" s="1" t="inlineStr">
        <x:is>
          <x:t xml:space="preserve">16 | Sr2LiSiO4F</x:t>
        </x:is>
      </x:c>
      <x:c r="E1" s="1" t="inlineStr">
        <x:is>
          <x:t xml:space="preserve">17 | SrAl2O4</x:t>
        </x:is>
      </x:c>
      <x:c r="F1" s="1" t="inlineStr">
        <x:is>
          <x:t xml:space="preserve">95 | Na3YSi2O7</x:t>
        </x:is>
      </x:c>
      <x:c r="G1" s="1" t="inlineStr">
        <x:is>
          <x:t xml:space="preserve">111 | Ba2MgSi2O7</x:t>
        </x:is>
      </x:c>
      <x:c r="H1" s="1" t="inlineStr">
        <x:is>
          <x:t xml:space="preserve">142 | Ba2Ca(BO3)2</x:t>
        </x:is>
      </x:c>
      <x:c r="I1" s="1" t="inlineStr">
        <x:is>
          <x:t xml:space="preserve">144 | Ba2Mg(PO4)2</x:t>
        </x:is>
      </x:c>
      <x:c r="J1" s="1" t="inlineStr">
        <x:is>
          <x:t xml:space="preserve">153 | Ba3Si6(NO6)2</x:t>
        </x:is>
      </x:c>
      <x:c r="K1" s="1" t="inlineStr">
        <x:is>
          <x:t xml:space="preserve">157 | BaNa(B3O5)3</x:t>
        </x:is>
      </x:c>
      <x:c r="L1" s="1" t="inlineStr">
        <x:is>
          <x:t xml:space="preserve">171 | BaLi2SiO4</x:t>
        </x:is>
      </x:c>
      <x:c r="M1" s="1" t="inlineStr">
        <x:is>
          <x:t xml:space="preserve">180 | Ba6Y2Al4O15</x:t>
        </x:is>
      </x:c>
      <x:c r="N1" s="1" t="inlineStr">
        <x:is>
          <x:t xml:space="preserve">199 | Cs2BaP2O7</x:t>
        </x:is>
      </x:c>
      <x:c r="O1" s="1" t="inlineStr">
        <x:is>
          <x:t xml:space="preserve">261 | NaCaPO4</x:t>
        </x:is>
      </x:c>
      <x:c r="P1" s="1" t="inlineStr">
        <x:is>
          <x:t xml:space="preserve">283 | RbLi7(SiO4)2</x:t>
        </x:is>
      </x:c>
    </x:row>
    <x:row r="2">
      <x:c r="A2" s="1" t="inlineStr">
        <x:is>
          <x:t xml:space="preserve">14 | K2RbNaLi12(SiO4)4</x:t>
        </x:is>
      </x:c>
      <x:c r="B2" t="n">
        <x:v>0</x:v>
      </x:c>
      <x:c r="C2" t="n">
        <x:v>0.9926958313566289</x:v>
      </x:c>
      <x:c r="D2" t="n">
        <x:v>0.7852678243709672</x:v>
      </x:c>
      <x:c r="E2" t="n">
        <x:v>2.092864497889426</x:v>
      </x:c>
      <x:c r="F2" t="n">
        <x:v>0.8305693497173969</x:v>
      </x:c>
      <x:c r="G2" t="n">
        <x:v>2.278076406318152</x:v>
      </x:c>
      <x:c r="H2" t="n">
        <x:v>2.252705764879404</x:v>
      </x:c>
      <x:c r="I2" t="n">
        <x:v>2.519567668021963</x:v>
      </x:c>
      <x:c r="J2" t="n">
        <x:v>2.355389701618006</x:v>
      </x:c>
      <x:c r="K2" t="n">
        <x:v>1.594730590625314</x:v>
      </x:c>
      <x:c r="L2" t="n">
        <x:v>0.5517612365962244</x:v>
      </x:c>
      <x:c r="M2" t="n">
        <x:v>2.234910275413482</x:v>
      </x:c>
      <x:c r="N2" t="n">
        <x:v>1.699575745237924</x:v>
      </x:c>
      <x:c r="O2" t="n">
        <x:v>1.266168066991714</x:v>
      </x:c>
      <x:c r="P2" t="n">
        <x:v>0.08662908317403571</x:v>
      </x:c>
    </x:row>
    <x:row r="3">
      <x:c r="A3" s="1" t="inlineStr">
        <x:is>
          <x:t xml:space="preserve">15 | Rb2ZrSi2O7</x:t>
        </x:is>
      </x:c>
      <x:c r="B3" t="n">
        <x:v>0.9926958313566289</x:v>
      </x:c>
      <x:c r="C3" t="n">
        <x:v>0</x:v>
      </x:c>
      <x:c r="D3" t="n">
        <x:v>0.2471631577599861</x:v>
      </x:c>
      <x:c r="E3" t="n">
        <x:v>1.283748193624889</x:v>
      </x:c>
      <x:c r="F3" t="n">
        <x:v>0.7243814626277207</x:v>
      </x:c>
      <x:c r="G3" t="n">
        <x:v>1.346005550157588</x:v>
      </x:c>
      <x:c r="H3" t="n">
        <x:v>1.348595496437598</x:v>
      </x:c>
      <x:c r="I3" t="n">
        <x:v>1.648366790835512</x:v>
      </x:c>
      <x:c r="J3" t="n">
        <x:v>1.466716582342643</x:v>
      </x:c>
      <x:c r="K3" t="n">
        <x:v>0.914489971603789</x:v>
      </x:c>
      <x:c r="L3" t="n">
        <x:v>0.4688041607063585</x:v>
      </x:c>
      <x:c r="M3" t="n">
        <x:v>1.296517168370345</x:v>
      </x:c>
      <x:c r="N3" t="n">
        <x:v>1.107089537050122</x:v>
      </x:c>
      <x:c r="O3" t="n">
        <x:v>1.133910918192217</x:v>
      </x:c>
      <x:c r="P3" t="n">
        <x:v>0.9344818047393659</x:v>
      </x:c>
    </x:row>
    <x:row r="4">
      <x:c r="A4" s="1" t="inlineStr">
        <x:is>
          <x:t xml:space="preserve">16 | Sr2LiSiO4F</x:t>
        </x:is>
      </x:c>
      <x:c r="B4" t="n">
        <x:v>0.7852678243709673</x:v>
      </x:c>
      <x:c r="C4" t="n">
        <x:v>0.2471631577599861</x:v>
      </x:c>
      <x:c r="D4" t="n">
        <x:v>0</x:v>
      </x:c>
      <x:c r="E4" t="n">
        <x:v>1.413367969167339</x:v>
      </x:c>
      <x:c r="F4" t="n">
        <x:v>0.5434781399179833</x:v>
      </x:c>
      <x:c r="G4" t="n">
        <x:v>1.5190941921875</x:v>
      </x:c>
      <x:c r="H4" t="n">
        <x:v>1.563534302333936</x:v>
      </x:c>
      <x:c r="I4" t="n">
        <x:v>1.769166744802959</x:v>
      </x:c>
      <x:c r="J4" t="n">
        <x:v>1.61912603344422</x:v>
      </x:c>
      <x:c r="K4" t="n">
        <x:v>1.014276255626491</x:v>
      </x:c>
      <x:c r="L4" t="n">
        <x:v>0.2524111600970471</x:v>
      </x:c>
      <x:c r="M4" t="n">
        <x:v>1.509144541428321</x:v>
      </x:c>
      <x:c r="N4" t="n">
        <x:v>1.149666807751065</x:v>
      </x:c>
      <x:c r="O4" t="n">
        <x:v>0.9714452293105628</x:v>
      </x:c>
      <x:c r="P4" t="n">
        <x:v>0.7191072045728091</x:v>
      </x:c>
    </x:row>
    <x:row r="5">
      <x:c r="A5" s="1" t="inlineStr">
        <x:is>
          <x:t xml:space="preserve">17 | SrAl2O4</x:t>
        </x:is>
      </x:c>
      <x:c r="B5" t="n">
        <x:v>2.092864497889426</x:v>
      </x:c>
      <x:c r="C5" t="n">
        <x:v>1.283748193624889</x:v>
      </x:c>
      <x:c r="D5" t="n">
        <x:v>1.413367969167339</x:v>
      </x:c>
      <x:c r="E5" t="n">
        <x:v>0</x:v>
      </x:c>
      <x:c r="F5" t="n">
        <x:v>1.382518924235751</x:v>
      </x:c>
      <x:c r="G5" t="n">
        <x:v>0.4968388142646467</x:v>
      </x:c>
      <x:c r="H5" t="n">
        <x:v>0.7557184849363903</x:v>
      </x:c>
      <x:c r="I5" t="n">
        <x:v>0.956431271009786</x:v>
      </x:c>
      <x:c r="J5" t="n">
        <x:v>0.3979902057799498</x:v>
      </x:c>
      <x:c r="K5" t="n">
        <x:v>0.5871634687776695</x:v>
      </x:c>
      <x:c r="L5" t="n">
        <x:v>1.569274365001295</x:v>
      </x:c>
      <x:c r="M5" t="n">
        <x:v>0.6600986807465228</x:v>
      </x:c>
      <x:c r="N5" t="n">
        <x:v>1.872738798705671</x:v>
      </x:c>
      <x:c r="O5" t="n">
        <x:v>1.597758700391767</x:v>
      </x:c>
      <x:c r="P5" t="n">
        <x:v>2.018281290356302</x:v>
      </x:c>
    </x:row>
    <x:row r="6">
      <x:c r="A6" s="1" t="inlineStr">
        <x:is>
          <x:t xml:space="preserve">95 | Na3YSi2O7</x:t>
        </x:is>
      </x:c>
      <x:c r="B6" t="n">
        <x:v>0.8305693497173969</x:v>
      </x:c>
      <x:c r="C6" t="n">
        <x:v>0.7243814626277207</x:v>
      </x:c>
      <x:c r="D6" t="n">
        <x:v>0.5434781399179833</x:v>
      </x:c>
      <x:c r="E6" t="n">
        <x:v>1.382518924235751</x:v>
      </x:c>
      <x:c r="F6" t="n">
        <x:v>0</x:v>
      </x:c>
      <x:c r="G6" t="n">
        <x:v>1.625078981146681</x:v>
      </x:c>
      <x:c r="H6" t="n">
        <x:v>1.755556526427603</x:v>
      </x:c>
      <x:c r="I6" t="n">
        <x:v>1.815943511177813</x:v>
      </x:c>
      <x:c r="J6" t="n">
        <x:v>1.653975247735452</x:v>
      </x:c>
      <x:c r="K6" t="n">
        <x:v>0.973407263568473</x:v>
      </x:c>
      <x:c r="L6" t="n">
        <x:v>0.479141866608592</x:v>
      </x:c>
      <x:c r="M6" t="n">
        <x:v>1.698747616089456</x:v>
      </x:c>
      <x:c r="N6" t="n">
        <x:v>1.510480215102955</x:v>
      </x:c>
      <x:c r="O6" t="n">
        <x:v>0.6808725142337986</x:v>
      </x:c>
      <x:c r="P6" t="n">
        <x:v>0.7452623635713574</x:v>
      </x:c>
    </x:row>
    <x:row r="7">
      <x:c r="A7" s="1" t="inlineStr">
        <x:is>
          <x:t xml:space="preserve">111 | Ba2MgSi2O7</x:t>
        </x:is>
      </x:c>
      <x:c r="B7" t="n">
        <x:v>2.278076406318152</x:v>
      </x:c>
      <x:c r="C7" t="n">
        <x:v>1.346005550157588</x:v>
      </x:c>
      <x:c r="D7" t="n">
        <x:v>1.5190941921875</x:v>
      </x:c>
      <x:c r="E7" t="n">
        <x:v>0.4968388142646467</x:v>
      </x:c>
      <x:c r="F7" t="n">
        <x:v>1.625078981146681</x:v>
      </x:c>
      <x:c r="G7" t="n">
        <x:v>0</x:v>
      </x:c>
      <x:c r="H7" t="n">
        <x:v>0.6830578139412133</x:v>
      </x:c>
      <x:c r="I7" t="n">
        <x:v>0.6472130963595389</x:v>
      </x:c>
      <x:c r="J7" t="n">
        <x:v>0.2232337294478737</x:v>
      </x:c>
      <x:c r="K7" t="n">
        <x:v>0.9491486486399571</x:v>
      </x:c>
      <x:c r="L7" t="n">
        <x:v>1.72785403145714</x:v>
      </x:c>
      <x:c r="M7" t="n">
        <x:v>0.4862003143201472</x:v>
      </x:c>
      <x:c r="N7" t="n">
        <x:v>1.662848591360429</x:v>
      </x:c>
      <x:c r="O7" t="n">
        <x:v>1.744816985719032</x:v>
      </x:c>
      <x:c r="P7" t="n">
        <x:v>2.205905098281971</x:v>
      </x:c>
    </x:row>
    <x:row r="8">
      <x:c r="A8" s="1" t="inlineStr">
        <x:is>
          <x:t xml:space="preserve">142 | Ba2Ca(BO3)2</x:t>
        </x:is>
      </x:c>
      <x:c r="B8" t="n">
        <x:v>2.252705764879404</x:v>
      </x:c>
      <x:c r="C8" t="n">
        <x:v>1.348595496437598</x:v>
      </x:c>
      <x:c r="D8" t="n">
        <x:v>1.563534302333936</x:v>
      </x:c>
      <x:c r="E8" t="n">
        <x:v>0.7557184849363903</x:v>
      </x:c>
      <x:c r="F8" t="n">
        <x:v>1.755556526427603</x:v>
      </x:c>
      <x:c r="G8" t="n">
        <x:v>0.6830578139412133</x:v>
      </x:c>
      <x:c r="H8" t="n">
        <x:v>0</x:v>
      </x:c>
      <x:c r="I8" t="n">
        <x:v>1.324459557669524</x:v>
      </x:c>
      <x:c r="J8" t="n">
        <x:v>0.7847461390608982</x:v>
      </x:c>
      <x:c r="K8" t="n">
        <x:v>0.8954536202837898</x:v>
      </x:c>
      <x:c r="L8" t="n">
        <x:v>1.738517557051615</x:v>
      </x:c>
      <x:c r="M8" t="n">
        <x:v>0.2107301364102729</x:v>
      </x:c>
      <x:c r="N8" t="n">
        <x:v>1.941101792038422</x:v>
      </x:c>
      <x:c r="O8" t="n">
        <x:v>2.097841521108817</x:v>
      </x:c>
      <x:c r="P8" t="n">
        <x:v>2.196212125882636</x:v>
      </x:c>
    </x:row>
    <x:row r="9">
      <x:c r="A9" s="1" t="inlineStr">
        <x:is>
          <x:t xml:space="preserve">144 | Ba2Mg(PO4)2</x:t>
        </x:is>
      </x:c>
      <x:c r="B9" t="n">
        <x:v>2.519567668021963</x:v>
      </x:c>
      <x:c r="C9" t="n">
        <x:v>1.648366790835512</x:v>
      </x:c>
      <x:c r="D9" t="n">
        <x:v>1.769166744802959</x:v>
      </x:c>
      <x:c r="E9" t="n">
        <x:v>0.956431271009786</x:v>
      </x:c>
      <x:c r="F9" t="n">
        <x:v>1.815943511177813</x:v>
      </x:c>
      <x:c r="G9" t="n">
        <x:v>0.6472130963595389</x:v>
      </x:c>
      <x:c r="H9" t="n">
        <x:v>1.324459557669524</x:v>
      </x:c>
      <x:c r="I9" t="n">
        <x:v>0</x:v>
      </x:c>
      <x:c r="J9" t="n">
        <x:v>0.6456622685777874</x:v>
      </x:c>
      <x:c r="K9" t="n">
        <x:v>1.419361971058678</x:v>
      </x:c>
      <x:c r="L9" t="n">
        <x:v>1.986717657289718</x:v>
      </x:c>
      <x:c r="M9" t="n">
        <x:v>1.120115849196814</x:v>
      </x:c>
      <x:c r="N9" t="n">
        <x:v>1.597194072454664</x:v>
      </x:c>
      <x:c r="O9" t="n">
        <x:v>1.680256654031781</x:v>
      </x:c>
      <x:c r="P9" t="n">
        <x:v>2.440742925876028</x:v>
      </x:c>
    </x:row>
    <x:row r="10">
      <x:c r="A10" s="1" t="inlineStr">
        <x:is>
          <x:t xml:space="preserve">153 | Ba3Si6(NO6)2</x:t>
        </x:is>
      </x:c>
      <x:c r="B10" t="n">
        <x:v>2.355389701618006</x:v>
      </x:c>
      <x:c r="C10" t="n">
        <x:v>1.466716582342643</x:v>
      </x:c>
      <x:c r="D10" t="n">
        <x:v>1.619126033444219</x:v>
      </x:c>
      <x:c r="E10" t="n">
        <x:v>0.3979902057799498</x:v>
      </x:c>
      <x:c r="F10" t="n">
        <x:v>1.653975247735452</x:v>
      </x:c>
      <x:c r="G10" t="n">
        <x:v>0.2232337294478737</x:v>
      </x:c>
      <x:c r="H10" t="n">
        <x:v>0.7847461390608982</x:v>
      </x:c>
      <x:c r="I10" t="n">
        <x:v>0.6456622685777874</x:v>
      </x:c>
      <x:c r="J10" t="n">
        <x:v>0</x:v>
      </x:c>
      <x:c r="K10" t="n">
        <x:v>0.947884520196234</x:v>
      </x:c>
      <x:c r="L10" t="n">
        <x:v>1.811721152837739</x:v>
      </x:c>
      <x:c r="M10" t="n">
        <x:v>0.6185699609618166</x:v>
      </x:c>
      <x:c r="N10" t="n">
        <x:v>1.824436422993619</x:v>
      </x:c>
      <x:c r="O10" t="n">
        <x:v>1.758379065263055</x:v>
      </x:c>
      <x:c r="P10" t="n">
        <x:v>2.280210363194688</x:v>
      </x:c>
    </x:row>
    <x:row r="11">
      <x:c r="A11" s="1" t="inlineStr">
        <x:is>
          <x:t xml:space="preserve">157 | BaNa(B3O5)3</x:t>
        </x:is>
      </x:c>
      <x:c r="B11" t="n">
        <x:v>1.594730590625314</x:v>
      </x:c>
      <x:c r="C11" t="n">
        <x:v>0.914489971603789</x:v>
      </x:c>
      <x:c r="D11" t="n">
        <x:v>1.014276255626491</x:v>
      </x:c>
      <x:c r="E11" t="n">
        <x:v>0.5871634687776695</x:v>
      </x:c>
      <x:c r="F11" t="n">
        <x:v>0.973407263568473</x:v>
      </x:c>
      <x:c r="G11" t="n">
        <x:v>0.9491486486399571</x:v>
      </x:c>
      <x:c r="H11" t="n">
        <x:v>0.8954536202837898</x:v>
      </x:c>
      <x:c r="I11" t="n">
        <x:v>1.419361971058678</x:v>
      </x:c>
      <x:c r="J11" t="n">
        <x:v>0.947884520196234</x:v>
      </x:c>
      <x:c r="K11" t="n">
        <x:v>0</x:v>
      </x:c>
      <x:c r="L11" t="n">
        <x:v>1.110719923369282</x:v>
      </x:c>
      <x:c r="M11" t="n">
        <x:v>0.8892042982229289</x:v>
      </x:c>
      <x:c r="N11" t="n">
        <x:v>1.810182926434687</x:v>
      </x:c>
      <x:c r="O11" t="n">
        <x:v>1.413836069216557</x:v>
      </x:c>
      <x:c r="P11" t="n">
        <x:v>1.526841895214802</x:v>
      </x:c>
    </x:row>
    <x:row r="12">
      <x:c r="A12" s="1" t="inlineStr">
        <x:is>
          <x:t xml:space="preserve">171 | BaLi2SiO4</x:t>
        </x:is>
      </x:c>
      <x:c r="B12" t="n">
        <x:v>0.5517612365962244</x:v>
      </x:c>
      <x:c r="C12" t="n">
        <x:v>0.4688041607063584</x:v>
      </x:c>
      <x:c r="D12" t="n">
        <x:v>0.2524111600970471</x:v>
      </x:c>
      <x:c r="E12" t="n">
        <x:v>1.569274365001295</x:v>
      </x:c>
      <x:c r="F12" t="n">
        <x:v>0.479141866608592</x:v>
      </x:c>
      <x:c r="G12" t="n">
        <x:v>1.72785403145714</x:v>
      </x:c>
      <x:c r="H12" t="n">
        <x:v>1.738517557051615</x:v>
      </x:c>
      <x:c r="I12" t="n">
        <x:v>1.986717657289719</x:v>
      </x:c>
      <x:c r="J12" t="n">
        <x:v>1.811721152837739</x:v>
      </x:c>
      <x:c r="K12" t="n">
        <x:v>1.110719923369282</x:v>
      </x:c>
      <x:c r="L12" t="n">
        <x:v>0</x:v>
      </x:c>
      <x:c r="M12" t="n">
        <x:v>1.702496479278202</x:v>
      </x:c>
      <x:c r="N12" t="n">
        <x:v>1.350405285071359</x:v>
      </x:c>
      <x:c r="O12" t="n">
        <x:v>1.000075104602925</x:v>
      </x:c>
      <x:c r="P12" t="n">
        <x:v>0.4826733751392916</x:v>
      </x:c>
    </x:row>
    <x:row r="13">
      <x:c r="A13" s="1" t="inlineStr">
        <x:is>
          <x:t xml:space="preserve">180 | Ba6Y2Al4O15</x:t>
        </x:is>
      </x:c>
      <x:c r="B13" t="n">
        <x:v>2.234910275413482</x:v>
      </x:c>
      <x:c r="C13" t="n">
        <x:v>1.296517168370345</x:v>
      </x:c>
      <x:c r="D13" t="n">
        <x:v>1.509144541428321</x:v>
      </x:c>
      <x:c r="E13" t="n">
        <x:v>0.6600986807465228</x:v>
      </x:c>
      <x:c r="F13" t="n">
        <x:v>1.698747616089456</x:v>
      </x:c>
      <x:c r="G13" t="n">
        <x:v>0.4862003143201472</x:v>
      </x:c>
      <x:c r="H13" t="n">
        <x:v>0.2107301364102729</x:v>
      </x:c>
      <x:c r="I13" t="n">
        <x:v>1.120115849196814</x:v>
      </x:c>
      <x:c r="J13" t="n">
        <x:v>0.6185699609618166</x:v>
      </x:c>
      <x:c r="K13" t="n">
        <x:v>0.8892042982229289</x:v>
      </x:c>
      <x:c r="L13" t="n">
        <x:v>1.702496479278202</x:v>
      </x:c>
      <x:c r="M13" t="n">
        <x:v>0</x:v>
      </x:c>
      <x:c r="N13" t="n">
        <x:v>1.798046679744251</x:v>
      </x:c>
      <x:c r="O13" t="n">
        <x:v>1.979916858278348</x:v>
      </x:c>
      <x:c r="P13" t="n">
        <x:v>2.173926884963403</x:v>
      </x:c>
    </x:row>
    <x:row r="14">
      <x:c r="A14" s="1" t="inlineStr">
        <x:is>
          <x:t xml:space="preserve">199 | Cs2BaP2O7</x:t>
        </x:is>
      </x:c>
      <x:c r="B14" t="n">
        <x:v>1.699575745237924</x:v>
      </x:c>
      <x:c r="C14" t="n">
        <x:v>1.107089537050122</x:v>
      </x:c>
      <x:c r="D14" t="n">
        <x:v>1.149666807751065</x:v>
      </x:c>
      <x:c r="E14" t="n">
        <x:v>1.872738798705671</x:v>
      </x:c>
      <x:c r="F14" t="n">
        <x:v>1.510480215102955</x:v>
      </x:c>
      <x:c r="G14" t="n">
        <x:v>1.662848591360429</x:v>
      </x:c>
      <x:c r="H14" t="n">
        <x:v>1.941101792038422</x:v>
      </x:c>
      <x:c r="I14" t="n">
        <x:v>1.597194072454664</x:v>
      </x:c>
      <x:c r="J14" t="n">
        <x:v>1.824436422993619</x:v>
      </x:c>
      <x:c r="K14" t="n">
        <x:v>1.810182926434687</x:v>
      </x:c>
      <x:c r="L14" t="n">
        <x:v>1.350405285071359</x:v>
      </x:c>
      <x:c r="M14" t="n">
        <x:v>1.798046679744251</x:v>
      </x:c>
      <x:c r="N14" t="n">
        <x:v>0</x:v>
      </x:c>
      <x:c r="O14" t="n">
        <x:v>1.367028741272008</x:v>
      </x:c>
      <x:c r="P14" t="n">
        <x:v>1.652625532968209</x:v>
      </x:c>
    </x:row>
    <x:row r="15">
      <x:c r="A15" s="1" t="inlineStr">
        <x:is>
          <x:t xml:space="preserve">261 | NaCaPO4</x:t>
        </x:is>
      </x:c>
      <x:c r="B15" t="n">
        <x:v>1.266168066991714</x:v>
      </x:c>
      <x:c r="C15" t="n">
        <x:v>1.133910918192217</x:v>
      </x:c>
      <x:c r="D15" t="n">
        <x:v>0.9714452293105628</x:v>
      </x:c>
      <x:c r="E15" t="n">
        <x:v>1.597758700391767</x:v>
      </x:c>
      <x:c r="F15" t="n">
        <x:v>0.6808725142337986</x:v>
      </x:c>
      <x:c r="G15" t="n">
        <x:v>1.744816985719032</x:v>
      </x:c>
      <x:c r="H15" t="n">
        <x:v>2.097841521108817</x:v>
      </x:c>
      <x:c r="I15" t="n">
        <x:v>1.680256654031781</x:v>
      </x:c>
      <x:c r="J15" t="n">
        <x:v>1.758379065263055</x:v>
      </x:c>
      <x:c r="K15" t="n">
        <x:v>1.413836069216557</x:v>
      </x:c>
      <x:c r="L15" t="n">
        <x:v>1.000075104602925</x:v>
      </x:c>
      <x:c r="M15" t="n">
        <x:v>1.979916858278348</x:v>
      </x:c>
      <x:c r="N15" t="n">
        <x:v>1.367028741272008</x:v>
      </x:c>
      <x:c r="O15" t="n">
        <x:v>0</x:v>
      </x:c>
      <x:c r="P15" t="n">
        <x:v>1.185555213873107</x:v>
      </x:c>
    </x:row>
    <x:row r="16">
      <x:c r="A16" s="1" t="inlineStr">
        <x:is>
          <x:t xml:space="preserve">283 | RbLi7(SiO4)2</x:t>
        </x:is>
      </x:c>
      <x:c r="B16" t="n">
        <x:v>0.08662908317403571</x:v>
      </x:c>
      <x:c r="C16" t="n">
        <x:v>0.9344818047393659</x:v>
      </x:c>
      <x:c r="D16" t="n">
        <x:v>0.719107204572809</x:v>
      </x:c>
      <x:c r="E16" t="n">
        <x:v>2.018281290356302</x:v>
      </x:c>
      <x:c r="F16" t="n">
        <x:v>0.7452623635713574</x:v>
      </x:c>
      <x:c r="G16" t="n">
        <x:v>2.205905098281971</x:v>
      </x:c>
      <x:c r="H16" t="n">
        <x:v>2.196212125882636</x:v>
      </x:c>
      <x:c r="I16" t="n">
        <x:v>2.440742925876028</x:v>
      </x:c>
      <x:c r="J16" t="n">
        <x:v>2.280210363194688</x:v>
      </x:c>
      <x:c r="K16" t="n">
        <x:v>1.526841895214802</x:v>
      </x:c>
      <x:c r="L16" t="n">
        <x:v>0.4826733751392916</x:v>
      </x:c>
      <x:c r="M16" t="n">
        <x:v>2.173926884963403</x:v>
      </x:c>
      <x:c r="N16" t="n">
        <x:v>1.652625532968209</x:v>
      </x:c>
      <x:c r="O16" t="n">
        <x:v>1.185555213873107</x:v>
      </x:c>
      <x:c r="P1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14 | K2RbNaLi12(SiO4)4</x:t>
        </x:is>
      </x:c>
      <x:c r="C1" s="1" t="inlineStr">
        <x:is>
          <x:t xml:space="preserve">15 | Rb2ZrSi2O7</x:t>
        </x:is>
      </x:c>
      <x:c r="D1" s="1" t="inlineStr">
        <x:is>
          <x:t xml:space="preserve">16 | Sr2LiSiO4F</x:t>
        </x:is>
      </x:c>
      <x:c r="E1" s="1" t="inlineStr">
        <x:is>
          <x:t xml:space="preserve">17 | SrAl2O4</x:t>
        </x:is>
      </x:c>
      <x:c r="F1" s="1" t="inlineStr">
        <x:is>
          <x:t xml:space="preserve">95 | Na3YSi2O7</x:t>
        </x:is>
      </x:c>
      <x:c r="G1" s="1" t="inlineStr">
        <x:is>
          <x:t xml:space="preserve">111 | Ba2MgSi2O7</x:t>
        </x:is>
      </x:c>
      <x:c r="H1" s="1" t="inlineStr">
        <x:is>
          <x:t xml:space="preserve">142 | Ba2Ca(BO3)2</x:t>
        </x:is>
      </x:c>
      <x:c r="I1" s="1" t="inlineStr">
        <x:is>
          <x:t xml:space="preserve">144 | Ba2Mg(PO4)2</x:t>
        </x:is>
      </x:c>
      <x:c r="J1" s="1" t="inlineStr">
        <x:is>
          <x:t xml:space="preserve">153 | Ba3Si6(NO6)2</x:t>
        </x:is>
      </x:c>
      <x:c r="K1" s="1" t="inlineStr">
        <x:is>
          <x:t xml:space="preserve">157 | BaNa(B3O5)3</x:t>
        </x:is>
      </x:c>
      <x:c r="L1" s="1" t="inlineStr">
        <x:is>
          <x:t xml:space="preserve">171 | BaLi2SiO4</x:t>
        </x:is>
      </x:c>
      <x:c r="M1" s="1" t="inlineStr">
        <x:is>
          <x:t xml:space="preserve">180 | Ba6Y2Al4O15</x:t>
        </x:is>
      </x:c>
      <x:c r="N1" s="1" t="inlineStr">
        <x:is>
          <x:t xml:space="preserve">199 | Cs2BaP2O7</x:t>
        </x:is>
      </x:c>
      <x:c r="O1" s="1" t="inlineStr">
        <x:is>
          <x:t xml:space="preserve">261 | NaCaPO4</x:t>
        </x:is>
      </x:c>
      <x:c r="P1" s="1" t="inlineStr">
        <x:is>
          <x:t xml:space="preserve">283 | RbLi7(SiO4)2</x:t>
        </x:is>
      </x:c>
    </x:row>
    <x:row r="2">
      <x:c r="A2" s="1" t="inlineStr">
        <x:is>
          <x:t xml:space="preserve">14 | K2RbNaLi12(SiO4)4</x:t>
        </x:is>
      </x:c>
      <x:c r="B2" t="n">
        <x:v>0</x:v>
      </x:c>
      <x:c r="C2" t="n">
        <x:v>0.3939945110249667</x:v>
      </x:c>
      <x:c r="D2" t="n">
        <x:v>0.3116676858246309</x:v>
      </x:c>
      <x:c r="E2" t="n">
        <x:v>0.8306442904676862</x:v>
      </x:c>
      <x:c r="F2" t="n">
        <x:v>0.3296475662308574</x:v>
      </x:c>
      <x:c r="G2" t="n">
        <x:v>0.9041536908221248</x:v>
      </x:c>
      <x:c r="H2" t="n">
        <x:v>0.8940842484488362</x:v>
      </x:c>
      <x:c r="I2" t="n">
        <x:v>1</x:v>
      </x:c>
      <x:c r="J2" t="n">
        <x:v>0.9348388342620508</x:v>
      </x:c>
      <x:c r="K2" t="n">
        <x:v>0.6329381865251864</x:v>
      </x:c>
      <x:c r="L2" t="n">
        <x:v>0.2189904417329643</x:v>
      </x:c>
      <x:c r="M2" t="n">
        <x:v>0.887021334564133</x:v>
      </x:c>
      <x:c r="N2" t="n">
        <x:v>0.6745505456387325</x:v>
      </x:c>
      <x:c r="O2" t="n">
        <x:v>0.5025338604958939</x:v>
      </x:c>
      <x:c r="P2" t="n">
        <x:v>0.03438251898272913</x:v>
      </x:c>
    </x:row>
    <x:row r="3">
      <x:c r="A3" s="1" t="inlineStr">
        <x:is>
          <x:t xml:space="preserve">15 | Rb2ZrSi2O7</x:t>
        </x:is>
      </x:c>
      <x:c r="B3" t="n">
        <x:v>0.3939945110249667</x:v>
      </x:c>
      <x:c r="C3" t="n">
        <x:v>0</x:v>
      </x:c>
      <x:c r="D3" t="n">
        <x:v>0.09809744778715408</x:v>
      </x:c>
      <x:c r="E3" t="n">
        <x:v>0.509511298274724</x:v>
      </x:c>
      <x:c r="F3" t="n">
        <x:v>0.2875022853410446</x:v>
      </x:c>
      <x:c r="G3" t="n">
        <x:v>0.5342208376623189</x:v>
      </x:c>
      <x:c r="H3" t="n">
        <x:v>0.5352487704751109</x:v>
      </x:c>
      <x:c r="I3" t="n">
        <x:v>0.6542260451093959</x:v>
      </x:c>
      <x:c r="J3" t="n">
        <x:v>0.58213026026569</x:v>
      </x:c>
      <x:c r="K3" t="n">
        <x:v>0.3629551145660349</x:v>
      </x:c>
      <x:c r="L3" t="n">
        <x:v>0.1860653185291914</x:v>
      </x:c>
      <x:c r="M3" t="n">
        <x:v>0.5145792211995647</x:v>
      </x:c>
      <x:c r="N3" t="n">
        <x:v>0.4393966278823005</x:v>
      </x:c>
      <x:c r="O3" t="n">
        <x:v>0.4500418593966227</x:v>
      </x:c>
      <x:c r="P3" t="n">
        <x:v>0.3708897429506228</x:v>
      </x:c>
    </x:row>
    <x:row r="4">
      <x:c r="A4" s="1" t="inlineStr">
        <x:is>
          <x:t xml:space="preserve">16 | Sr2LiSiO4F</x:t>
        </x:is>
      </x:c>
      <x:c r="B4" t="n">
        <x:v>0.311667685824631</x:v>
      </x:c>
      <x:c r="C4" t="n">
        <x:v>0.09809744778715408</x:v>
      </x:c>
      <x:c r="D4" t="n">
        <x:v>0</x:v>
      </x:c>
      <x:c r="E4" t="n">
        <x:v>0.5609565431028617</x:v>
      </x:c>
      <x:c r="F4" t="n">
        <x:v>0.2157029346009396</x:v>
      </x:c>
      <x:c r="G4" t="n">
        <x:v>0.6029185925298426</x:v>
      </x:c>
      <x:c r="H4" t="n">
        <x:v>0.6205565828527321</x:v>
      </x:c>
      <x:c r="I4" t="n">
        <x:v>0.7021707601891396</x:v>
      </x:c>
      <x:c r="J4" t="n">
        <x:v>0.6426205789167579</x:v>
      </x:c>
      <x:c r="K4" t="n">
        <x:v>0.4025596408858386</x:v>
      </x:c>
      <x:c r="L4" t="n">
        <x:v>0.1001803457397147</x:v>
      </x:c>
      <x:c r="M4" t="n">
        <x:v>0.5989696409357027</x:v>
      </x:c>
      <x:c r="N4" t="n">
        <x:v>0.4562952693600937</x:v>
      </x:c>
      <x:c r="O4" t="n">
        <x:v>0.3855602854569155</x:v>
      </x:c>
      <x:c r="P4" t="n">
        <x:v>0.2854089666650464</x:v>
      </x:c>
    </x:row>
    <x:row r="5">
      <x:c r="A5" s="1" t="inlineStr">
        <x:is>
          <x:t xml:space="preserve">17 | SrAl2O4</x:t>
        </x:is>
      </x:c>
      <x:c r="B5" t="n">
        <x:v>0.8306442904676862</x:v>
      </x:c>
      <x:c r="C5" t="n">
        <x:v>0.509511298274724</x:v>
      </x:c>
      <x:c r="D5" t="n">
        <x:v>0.5609565431028617</x:v>
      </x:c>
      <x:c r="E5" t="n">
        <x:v>0</x:v>
      </x:c>
      <x:c r="F5" t="n">
        <x:v>0.5487127580586573</x:v>
      </x:c>
      <x:c r="G5" t="n">
        <x:v>0.1971920899646644</x:v>
      </x:c>
      <x:c r="H5" t="n">
        <x:v>0.2999397454285013</x:v>
      </x:c>
      <x:c r="I5" t="n">
        <x:v>0.3796013431783126</x:v>
      </x:c>
      <x:c r="J5" t="n">
        <x:v>0.157959720959747</x:v>
      </x:c>
      <x:c r="K5" t="n">
        <x:v>0.2330413571462575</x:v>
      </x:c>
      <x:c r="L5" t="n">
        <x:v>0.6228347763460885</x:v>
      </x:c>
      <x:c r="M5" t="n">
        <x:v>0.2619888678222111</x:v>
      </x:c>
      <x:c r="N5" t="n">
        <x:v>0.7432778339213657</x:v>
      </x:c>
      <x:c r="O5" t="n">
        <x:v>0.6341400235724248</x:v>
      </x:c>
      <x:c r="P5" t="n">
        <x:v>0.8010427010840293</x:v>
      </x:c>
    </x:row>
    <x:row r="6">
      <x:c r="A6" s="1" t="inlineStr">
        <x:is>
          <x:t xml:space="preserve">95 | Na3YSi2O7</x:t>
        </x:is>
      </x:c>
      <x:c r="B6" t="n">
        <x:v>0.3296475662308574</x:v>
      </x:c>
      <x:c r="C6" t="n">
        <x:v>0.2875022853410446</x:v>
      </x:c>
      <x:c r="D6" t="n">
        <x:v>0.2157029346009396</x:v>
      </x:c>
      <x:c r="E6" t="n">
        <x:v>0.5487127580586573</x:v>
      </x:c>
      <x:c r="F6" t="n">
        <x:v>0</x:v>
      </x:c>
      <x:c r="G6" t="n">
        <x:v>0.644983265094238</x:v>
      </x:c>
      <x:c r="H6" t="n">
        <x:v>0.6967689531457745</x:v>
      </x:c>
      <x:c r="I6" t="n">
        <x:v>0.7207361541527699</x:v>
      </x:c>
      <x:c r="J6" t="n">
        <x:v>0.6564520051306811</x:v>
      </x:c>
      <x:c r="K6" t="n">
        <x:v>0.3863390040771026</x:v>
      </x:c>
      <x:c r="L6" t="n">
        <x:v>0.1901682866825926</x:v>
      </x:c>
      <x:c r="M6" t="n">
        <x:v>0.6742218665724869</x:v>
      </x:c>
      <x:c r="N6" t="n">
        <x:v>0.5994997611192509</x:v>
      </x:c>
      <x:c r="O6" t="n">
        <x:v>0.2702338670539979</x:v>
      </x:c>
      <x:c r="P6" t="n">
        <x:v>0.2957897789490371</x:v>
      </x:c>
    </x:row>
    <x:row r="7">
      <x:c r="A7" s="1" t="inlineStr">
        <x:is>
          <x:t xml:space="preserve">111 | Ba2MgSi2O7</x:t>
        </x:is>
      </x:c>
      <x:c r="B7" t="n">
        <x:v>0.9041536908221248</x:v>
      </x:c>
      <x:c r="C7" t="n">
        <x:v>0.5342208376623189</x:v>
      </x:c>
      <x:c r="D7" t="n">
        <x:v>0.6029185925298426</x:v>
      </x:c>
      <x:c r="E7" t="n">
        <x:v>0.1971920899646644</x:v>
      </x:c>
      <x:c r="F7" t="n">
        <x:v>0.644983265094238</x:v>
      </x:c>
      <x:c r="G7" t="n">
        <x:v>0</x:v>
      </x:c>
      <x:c r="H7" t="n">
        <x:v>0.2711011982771876</x:v>
      </x:c>
      <x:c r="I7" t="n">
        <x:v>0.2568746632900106</x:v>
      </x:c>
      <x:c r="J7" t="n">
        <x:v>0.0886000135186398</x:v>
      </x:c>
      <x:c r="K7" t="n">
        <x:v>0.3767109177842027</x:v>
      </x:c>
      <x:c r="L7" t="n">
        <x:v>0.6857740132907905</x:v>
      </x:c>
      <x:c r="M7" t="n">
        <x:v>0.1929697386146602</x:v>
      </x:c>
      <x:c r="N7" t="n">
        <x:v>0.6599737774321741</x:v>
      </x:c>
      <x:c r="O7" t="n">
        <x:v>0.692506499374488</x:v>
      </x:c>
      <x:c r="P7" t="n">
        <x:v>0.8755093686425023</x:v>
      </x:c>
    </x:row>
    <x:row r="8">
      <x:c r="A8" s="1" t="inlineStr">
        <x:is>
          <x:t xml:space="preserve">142 | Ba2Ca(BO3)2</x:t>
        </x:is>
      </x:c>
      <x:c r="B8" t="n">
        <x:v>0.8940842484488362</x:v>
      </x:c>
      <x:c r="C8" t="n">
        <x:v>0.5352487704751109</x:v>
      </x:c>
      <x:c r="D8" t="n">
        <x:v>0.6205565828527321</x:v>
      </x:c>
      <x:c r="E8" t="n">
        <x:v>0.2999397454285013</x:v>
      </x:c>
      <x:c r="F8" t="n">
        <x:v>0.6967689531457745</x:v>
      </x:c>
      <x:c r="G8" t="n">
        <x:v>0.2711011982771876</x:v>
      </x:c>
      <x:c r="H8" t="n">
        <x:v>0</x:v>
      </x:c>
      <x:c r="I8" t="n">
        <x:v>0.5256693735514225</x:v>
      </x:c>
      <x:c r="J8" t="n">
        <x:v>0.311460632322282</x:v>
      </x:c>
      <x:c r="K8" t="n">
        <x:v>0.3553997106919473</x:v>
      </x:c>
      <x:c r="L8" t="n">
        <x:v>0.690006297158303</x:v>
      </x:c>
      <x:c r="M8" t="n">
        <x:v>0.08363741886547972</x:v>
      </x:c>
      <x:c r="N8" t="n">
        <x:v>0.7704106607949621</x:v>
      </x:c>
      <x:c r="O8" t="n">
        <x:v>0.832619638573061</x:v>
      </x:c>
      <x:c r="P8" t="n">
        <x:v>0.8716622910178936</x:v>
      </x:c>
    </x:row>
    <x:row r="9">
      <x:c r="A9" s="1" t="inlineStr">
        <x:is>
          <x:t xml:space="preserve">144 | Ba2Mg(PO4)2</x:t>
        </x:is>
      </x:c>
      <x:c r="B9" t="n">
        <x:v>1</x:v>
      </x:c>
      <x:c r="C9" t="n">
        <x:v>0.6542260451093959</x:v>
      </x:c>
      <x:c r="D9" t="n">
        <x:v>0.7021707601891396</x:v>
      </x:c>
      <x:c r="E9" t="n">
        <x:v>0.3796013431783126</x:v>
      </x:c>
      <x:c r="F9" t="n">
        <x:v>0.7207361541527699</x:v>
      </x:c>
      <x:c r="G9" t="n">
        <x:v>0.2568746632900106</x:v>
      </x:c>
      <x:c r="H9" t="n">
        <x:v>0.5256693735514225</x:v>
      </x:c>
      <x:c r="I9" t="n">
        <x:v>0</x:v>
      </x:c>
      <x:c r="J9" t="n">
        <x:v>0.2562591498424321</x:v>
      </x:c>
      <x:c r="K9" t="n">
        <x:v>0.5633355234205621</x:v>
      </x:c>
      <x:c r="L9" t="n">
        <x:v>0.788515300662447</x:v>
      </x:c>
      <x:c r="M9" t="n">
        <x:v>0.4445666863459094</x:v>
      </x:c>
      <x:c r="N9" t="n">
        <x:v>0.6339159264210489</x:v>
      </x:c>
      <x:c r="O9" t="n">
        <x:v>0.6668829241450379</x:v>
      </x:c>
      <x:c r="P9" t="n">
        <x:v>0.9687149731494143</x:v>
      </x:c>
    </x:row>
    <x:row r="10">
      <x:c r="A10" s="1" t="inlineStr">
        <x:is>
          <x:t xml:space="preserve">153 | Ba3Si6(NO6)2</x:t>
        </x:is>
      </x:c>
      <x:c r="B10" t="n">
        <x:v>0.9348388342620508</x:v>
      </x:c>
      <x:c r="C10" t="n">
        <x:v>0.58213026026569</x:v>
      </x:c>
      <x:c r="D10" t="n">
        <x:v>0.6426205789167578</x:v>
      </x:c>
      <x:c r="E10" t="n">
        <x:v>0.157959720959747</x:v>
      </x:c>
      <x:c r="F10" t="n">
        <x:v>0.6564520051306811</x:v>
      </x:c>
      <x:c r="G10" t="n">
        <x:v>0.0886000135186398</x:v>
      </x:c>
      <x:c r="H10" t="n">
        <x:v>0.311460632322282</x:v>
      </x:c>
      <x:c r="I10" t="n">
        <x:v>0.2562591498424321</x:v>
      </x:c>
      <x:c r="J10" t="n">
        <x:v>0</x:v>
      </x:c>
      <x:c r="K10" t="n">
        <x:v>0.3762091934369001</x:v>
      </x:c>
      <x:c r="L10" t="n">
        <x:v>0.7190603276236145</x:v>
      </x:c>
      <x:c r="M10" t="n">
        <x:v>0.2455063893749031</x:v>
      </x:c>
      <x:c r="N10" t="n">
        <x:v>0.7241069355465769</x:v>
      </x:c>
      <x:c r="O10" t="n">
        <x:v>0.6978892004291775</x:v>
      </x:c>
      <x:c r="P10" t="n">
        <x:v>0.9050006444100833</x:v>
      </x:c>
    </x:row>
    <x:row r="11">
      <x:c r="A11" s="1" t="inlineStr">
        <x:is>
          <x:t xml:space="preserve">157 | BaNa(B3O5)3</x:t>
        </x:is>
      </x:c>
      <x:c r="B11" t="n">
        <x:v>0.6329381865251864</x:v>
      </x:c>
      <x:c r="C11" t="n">
        <x:v>0.3629551145660349</x:v>
      </x:c>
      <x:c r="D11" t="n">
        <x:v>0.4025596408858386</x:v>
      </x:c>
      <x:c r="E11" t="n">
        <x:v>0.2330413571462575</x:v>
      </x:c>
      <x:c r="F11" t="n">
        <x:v>0.3863390040771026</x:v>
      </x:c>
      <x:c r="G11" t="n">
        <x:v>0.3767109177842027</x:v>
      </x:c>
      <x:c r="H11" t="n">
        <x:v>0.3553997106919473</x:v>
      </x:c>
      <x:c r="I11" t="n">
        <x:v>0.5633355234205621</x:v>
      </x:c>
      <x:c r="J11" t="n">
        <x:v>0.3762091934369001</x:v>
      </x:c>
      <x:c r="K11" t="n">
        <x:v>0</x:v>
      </x:c>
      <x:c r="L11" t="n">
        <x:v>0.4408375045712802</x:v>
      </x:c>
      <x:c r="M11" t="n">
        <x:v>0.3529193954616097</x:v>
      </x:c>
      <x:c r="N11" t="n">
        <x:v>0.7184498155811817</x:v>
      </x:c>
      <x:c r="O11" t="n">
        <x:v>0.5611423289641265</x:v>
      </x:c>
      <x:c r="P11" t="n">
        <x:v>0.6059936054082962</x:v>
      </x:c>
    </x:row>
    <x:row r="12">
      <x:c r="A12" s="1" t="inlineStr">
        <x:is>
          <x:t xml:space="preserve">171 | BaLi2SiO4</x:t>
        </x:is>
      </x:c>
      <x:c r="B12" t="n">
        <x:v>0.2189904417329643</x:v>
      </x:c>
      <x:c r="C12" t="n">
        <x:v>0.1860653185291914</x:v>
      </x:c>
      <x:c r="D12" t="n">
        <x:v>0.1001803457397147</x:v>
      </x:c>
      <x:c r="E12" t="n">
        <x:v>0.6228347763460885</x:v>
      </x:c>
      <x:c r="F12" t="n">
        <x:v>0.1901682866825926</x:v>
      </x:c>
      <x:c r="G12" t="n">
        <x:v>0.6857740132907905</x:v>
      </x:c>
      <x:c r="H12" t="n">
        <x:v>0.6900062971583029</x:v>
      </x:c>
      <x:c r="I12" t="n">
        <x:v>0.788515300662447</x:v>
      </x:c>
      <x:c r="J12" t="n">
        <x:v>0.7190603276236145</x:v>
      </x:c>
      <x:c r="K12" t="n">
        <x:v>0.4408375045712802</x:v>
      </x:c>
      <x:c r="L12" t="n">
        <x:v>0</x:v>
      </x:c>
      <x:c r="M12" t="n">
        <x:v>0.6757097659594834</x:v>
      </x:c>
      <x:c r="N12" t="n">
        <x:v>0.5359670637984977</x:v>
      </x:c>
      <x:c r="O12" t="n">
        <x:v>0.3969232965225556</x:v>
      </x:c>
      <x:c r="P12" t="n">
        <x:v>0.1915699194212252</x:v>
      </x:c>
    </x:row>
    <x:row r="13">
      <x:c r="A13" s="1" t="inlineStr">
        <x:is>
          <x:t xml:space="preserve">180 | Ba6Y2Al4O15</x:t>
        </x:is>
      </x:c>
      <x:c r="B13" t="n">
        <x:v>0.887021334564133</x:v>
      </x:c>
      <x:c r="C13" t="n">
        <x:v>0.5145792211995647</x:v>
      </x:c>
      <x:c r="D13" t="n">
        <x:v>0.5989696409357026</x:v>
      </x:c>
      <x:c r="E13" t="n">
        <x:v>0.2619888678222111</x:v>
      </x:c>
      <x:c r="F13" t="n">
        <x:v>0.6742218665724871</x:v>
      </x:c>
      <x:c r="G13" t="n">
        <x:v>0.1929697386146602</x:v>
      </x:c>
      <x:c r="H13" t="n">
        <x:v>0.08363741886547972</x:v>
      </x:c>
      <x:c r="I13" t="n">
        <x:v>0.4445666863459094</x:v>
      </x:c>
      <x:c r="J13" t="n">
        <x:v>0.2455063893749031</x:v>
      </x:c>
      <x:c r="K13" t="n">
        <x:v>0.3529193954616097</x:v>
      </x:c>
      <x:c r="L13" t="n">
        <x:v>0.6757097659594834</x:v>
      </x:c>
      <x:c r="M13" t="n">
        <x:v>0</x:v>
      </x:c>
      <x:c r="N13" t="n">
        <x:v>0.7136330183010499</x:v>
      </x:c>
      <x:c r="O13" t="n">
        <x:v>0.7858161078216731</x:v>
      </x:c>
      <x:c r="P13" t="n">
        <x:v>0.8628174240186562</x:v>
      </x:c>
    </x:row>
    <x:row r="14">
      <x:c r="A14" s="1" t="inlineStr">
        <x:is>
          <x:t xml:space="preserve">199 | Cs2BaP2O7</x:t>
        </x:is>
      </x:c>
      <x:c r="B14" t="n">
        <x:v>0.6745505456387325</x:v>
      </x:c>
      <x:c r="C14" t="n">
        <x:v>0.4393966278823005</x:v>
      </x:c>
      <x:c r="D14" t="n">
        <x:v>0.4562952693600937</x:v>
      </x:c>
      <x:c r="E14" t="n">
        <x:v>0.7432778339213657</x:v>
      </x:c>
      <x:c r="F14" t="n">
        <x:v>0.5994997611192509</x:v>
      </x:c>
      <x:c r="G14" t="n">
        <x:v>0.6599737774321741</x:v>
      </x:c>
      <x:c r="H14" t="n">
        <x:v>0.7704106607949621</x:v>
      </x:c>
      <x:c r="I14" t="n">
        <x:v>0.6339159264210489</x:v>
      </x:c>
      <x:c r="J14" t="n">
        <x:v>0.7241069355465769</x:v>
      </x:c>
      <x:c r="K14" t="n">
        <x:v>0.7184498155811817</x:v>
      </x:c>
      <x:c r="L14" t="n">
        <x:v>0.5359670637984977</x:v>
      </x:c>
      <x:c r="M14" t="n">
        <x:v>0.7136330183010499</x:v>
      </x:c>
      <x:c r="N14" t="n">
        <x:v>0</x:v>
      </x:c>
      <x:c r="O14" t="n">
        <x:v>0.5425648053125007</x:v>
      </x:c>
      <x:c r="P14" t="n">
        <x:v>0.655916312128912</x:v>
      </x:c>
    </x:row>
    <x:row r="15">
      <x:c r="A15" s="1" t="inlineStr">
        <x:is>
          <x:t xml:space="preserve">261 | NaCaPO4</x:t>
        </x:is>
      </x:c>
      <x:c r="B15" t="n">
        <x:v>0.5025338604958939</x:v>
      </x:c>
      <x:c r="C15" t="n">
        <x:v>0.4500418593966227</x:v>
      </x:c>
      <x:c r="D15" t="n">
        <x:v>0.3855602854569155</x:v>
      </x:c>
      <x:c r="E15" t="n">
        <x:v>0.6341400235724247</x:v>
      </x:c>
      <x:c r="F15" t="n">
        <x:v>0.2702338670539979</x:v>
      </x:c>
      <x:c r="G15" t="n">
        <x:v>0.692506499374488</x:v>
      </x:c>
      <x:c r="H15" t="n">
        <x:v>0.832619638573061</x:v>
      </x:c>
      <x:c r="I15" t="n">
        <x:v>0.6668829241450379</x:v>
      </x:c>
      <x:c r="J15" t="n">
        <x:v>0.6978892004291775</x:v>
      </x:c>
      <x:c r="K15" t="n">
        <x:v>0.5611423289641265</x:v>
      </x:c>
      <x:c r="L15" t="n">
        <x:v>0.3969232965225556</x:v>
      </x:c>
      <x:c r="M15" t="n">
        <x:v>0.7858161078216731</x:v>
      </x:c>
      <x:c r="N15" t="n">
        <x:v>0.5425648053125007</x:v>
      </x:c>
      <x:c r="O15" t="n">
        <x:v>0</x:v>
      </x:c>
      <x:c r="P15" t="n">
        <x:v>0.4705391440444427</x:v>
      </x:c>
    </x:row>
    <x:row r="16">
      <x:c r="A16" s="1" t="inlineStr">
        <x:is>
          <x:t xml:space="preserve">283 | RbLi7(SiO4)2</x:t>
        </x:is>
      </x:c>
      <x:c r="B16" t="n">
        <x:v>0.03438251898272913</x:v>
      </x:c>
      <x:c r="C16" t="n">
        <x:v>0.3708897429506228</x:v>
      </x:c>
      <x:c r="D16" t="n">
        <x:v>0.2854089666650463</x:v>
      </x:c>
      <x:c r="E16" t="n">
        <x:v>0.8010427010840293</x:v>
      </x:c>
      <x:c r="F16" t="n">
        <x:v>0.2957897789490371</x:v>
      </x:c>
      <x:c r="G16" t="n">
        <x:v>0.8755093686425023</x:v>
      </x:c>
      <x:c r="H16" t="n">
        <x:v>0.8716622910178936</x:v>
      </x:c>
      <x:c r="I16" t="n">
        <x:v>0.9687149731494143</x:v>
      </x:c>
      <x:c r="J16" t="n">
        <x:v>0.9050006444100833</x:v>
      </x:c>
      <x:c r="K16" t="n">
        <x:v>0.6059936054082962</x:v>
      </x:c>
      <x:c r="L16" t="n">
        <x:v>0.1915699194212252</x:v>
      </x:c>
      <x:c r="M16" t="n">
        <x:v>0.8628174240186562</x:v>
      </x:c>
      <x:c r="N16" t="n">
        <x:v>0.655916312128912</x:v>
      </x:c>
      <x:c r="O16" t="n">
        <x:v>0.4705391440444427</x:v>
      </x:c>
      <x:c r="P16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1" max="11" width="28" hidden="0" customWidth="1"/>
  </x:cols>
  <x:sheetData>
    <x:row r="1">
      <x:c r="A1" s="1" t="inlineStr">
        <x:is>
          <x:t xml:space="preserve">Pair_Rank_From_Nearest</x:t>
        </x:is>
      </x:c>
      <x:c r="B1" s="1" t="inlineStr">
        <x:is>
          <x:t xml:space="preserve">Benchmark_A_Number</x:t>
        </x:is>
      </x:c>
      <x:c r="C1" s="1" t="inlineStr">
        <x:is>
          <x:t xml:space="preserve">Benchmark_A_Composition</x:t>
        </x:is>
      </x:c>
      <x:c r="D1" s="1" t="inlineStr">
        <x:is>
          <x:t xml:space="preserve">Cluster_A</x:t>
        </x:is>
      </x:c>
      <x:c r="E1" s="1" t="inlineStr">
        <x:is>
          <x:t xml:space="preserve">Benchmark_B_Number</x:t>
        </x:is>
      </x:c>
      <x:c r="F1" s="1" t="inlineStr">
        <x:is>
          <x:t xml:space="preserve">Benchmark_B_Composition</x:t>
        </x:is>
      </x:c>
      <x:c r="G1" s="1" t="inlineStr">
        <x:is>
          <x:t xml:space="preserve">Cluster_B</x:t>
        </x:is>
      </x:c>
      <x:c r="H1" s="1" t="inlineStr">
        <x:is>
          <x:t xml:space="preserve">Same_Cluster</x:t>
        </x:is>
      </x:c>
      <x:c r="I1" s="1" t="inlineStr">
        <x:is>
          <x:t xml:space="preserve">Euclidean_Distance</x:t>
        </x:is>
      </x:c>
      <x:c r="J1" s="1" t="inlineStr">
        <x:is>
          <x:t xml:space="preserve">Normalized_Euclidean_Distance</x:t>
        </x:is>
      </x:c>
      <x:c r="K1" s="7" t="str">
        <x:v>Debye_Temperature_Difference_K</x:v>
      </x:c>
    </x:row>
    <x:row r="2">
      <x:c r="A2" t="n">
        <x:v>1</x:v>
      </x:c>
      <x:c r="B2" t="n">
        <x:v>14</x:v>
      </x:c>
      <x:c r="C2" t="inlineStr">
        <x:is>
          <x:t xml:space="preserve">K2RbNaLi12(SiO4)4</x:t>
        </x:is>
      </x:c>
      <x:c r="D2" t="n">
        <x:v>3</x:v>
      </x:c>
      <x:c r="E2" t="n">
        <x:v>283</x:v>
      </x:c>
      <x:c r="F2" t="inlineStr">
        <x:is>
          <x:t xml:space="preserve">RbLi7(SiO4)2</x:t>
        </x:is>
      </x:c>
      <x:c r="G2" t="n">
        <x:v>3</x:v>
      </x:c>
      <x:c r="H2" t="b">
        <x:v>1</x:v>
      </x:c>
      <x:c r="I2" t="n">
        <x:v>0.08662908317403571</x:v>
      </x:c>
      <x:c r="J2" t="n">
        <x:v>0.03438251898272913</x:v>
      </x:c>
      <x:c r="K2" s="12" t="n">
        <x:f>ABS(VLOOKUP(C2,Benchmark_Properties!$A$2:$B$16,2,FALSE)-VLOOKUP(F2,Benchmark_Properties!$A$2:$B$16,2,FALSE))</x:f>
        <x:v>81.60000000000002</x:v>
      </x:c>
    </x:row>
    <x:row r="3">
      <x:c r="A3" t="n">
        <x:v>2</x:v>
      </x:c>
      <x:c r="B3" t="n">
        <x:v>142</x:v>
      </x:c>
      <x:c r="C3" t="inlineStr">
        <x:is>
          <x:t xml:space="preserve">Ba2Ca(BO3)2</x:t>
        </x:is>
      </x:c>
      <x:c r="D3" t="n">
        <x:v>0</x:v>
      </x:c>
      <x:c r="E3" t="n">
        <x:v>180</x:v>
      </x:c>
      <x:c r="F3" t="inlineStr">
        <x:is>
          <x:t xml:space="preserve">Ba6Y2Al4O15</x:t>
        </x:is>
      </x:c>
      <x:c r="G3" t="n">
        <x:v>0</x:v>
      </x:c>
      <x:c r="H3" t="b">
        <x:v>1</x:v>
      </x:c>
      <x:c r="I3" t="n">
        <x:v>0.2107301364102729</x:v>
      </x:c>
      <x:c r="J3" t="n">
        <x:v>0.08363741886547972</x:v>
      </x:c>
      <x:c r="K3" s="12" t="n">
        <x:f>ABS(VLOOKUP(C3,Benchmark_Properties!$A$2:$B$16,2,FALSE)-VLOOKUP(F3,Benchmark_Properties!$A$2:$B$16,2,FALSE))</x:f>
        <x:v>28.899999999999977</x:v>
      </x:c>
    </x:row>
    <x:row r="4">
      <x:c r="A4" t="n">
        <x:v>3</x:v>
      </x:c>
      <x:c r="B4" t="n">
        <x:v>111</x:v>
      </x:c>
      <x:c r="C4" t="inlineStr">
        <x:is>
          <x:t xml:space="preserve">Ba2MgSi2O7</x:t>
        </x:is>
      </x:c>
      <x:c r="D4" t="n">
        <x:v>0</x:v>
      </x:c>
      <x:c r="E4" t="n">
        <x:v>153</x:v>
      </x:c>
      <x:c r="F4" t="inlineStr">
        <x:is>
          <x:t xml:space="preserve">Ba3Si6(NO6)2</x:t>
        </x:is>
      </x:c>
      <x:c r="G4" t="n">
        <x:v>0</x:v>
      </x:c>
      <x:c r="H4" t="b">
        <x:v>1</x:v>
      </x:c>
      <x:c r="I4" t="n">
        <x:v>0.2232337294478737</x:v>
      </x:c>
      <x:c r="J4" t="n">
        <x:v>0.0886000135186398</x:v>
      </x:c>
      <x:c r="K4" s="12" t="n">
        <x:f>ABS(VLOOKUP(C4,Benchmark_Properties!$A$2:$B$16,2,FALSE)-VLOOKUP(F4,Benchmark_Properties!$A$2:$B$16,2,FALSE))</x:f>
        <x:v>8.599999999999966</x:v>
      </x:c>
    </x:row>
    <x:row r="5">
      <x:c r="A5" t="n">
        <x:v>4</x:v>
      </x:c>
      <x:c r="B5" t="n">
        <x:v>15</x:v>
      </x:c>
      <x:c r="C5" t="inlineStr">
        <x:is>
          <x:t xml:space="preserve">Rb2ZrSi2O7</x:t>
        </x:is>
      </x:c>
      <x:c r="D5" t="n">
        <x:v>3</x:v>
      </x:c>
      <x:c r="E5" t="n">
        <x:v>16</x:v>
      </x:c>
      <x:c r="F5" t="inlineStr">
        <x:is>
          <x:t xml:space="preserve">Sr2LiSiO4F</x:t>
        </x:is>
      </x:c>
      <x:c r="G5" t="n">
        <x:v>3</x:v>
      </x:c>
      <x:c r="H5" t="b">
        <x:v>1</x:v>
      </x:c>
      <x:c r="I5" t="n">
        <x:v>0.2471631577599861</x:v>
      </x:c>
      <x:c r="J5" t="n">
        <x:v>0.09809744778715408</x:v>
      </x:c>
      <x:c r="K5" s="12" t="n">
        <x:f>ABS(VLOOKUP(C5,Benchmark_Properties!$A$2:$B$16,2,FALSE)-VLOOKUP(F5,Benchmark_Properties!$A$2:$B$16,2,FALSE))</x:f>
        <x:v>87.79999999999995</x:v>
      </x:c>
    </x:row>
    <x:row r="6">
      <x:c r="A6" t="n">
        <x:v>5</x:v>
      </x:c>
      <x:c r="B6" t="n">
        <x:v>16</x:v>
      </x:c>
      <x:c r="C6" t="inlineStr">
        <x:is>
          <x:t xml:space="preserve">Sr2LiSiO4F</x:t>
        </x:is>
      </x:c>
      <x:c r="D6" t="n">
        <x:v>3</x:v>
      </x:c>
      <x:c r="E6" t="n">
        <x:v>171</x:v>
      </x:c>
      <x:c r="F6" t="inlineStr">
        <x:is>
          <x:t xml:space="preserve">BaLi2SiO4</x:t>
        </x:is>
      </x:c>
      <x:c r="G6" t="n">
        <x:v>3</x:v>
      </x:c>
      <x:c r="H6" t="b">
        <x:v>1</x:v>
      </x:c>
      <x:c r="I6" t="n">
        <x:v>0.2524111600970471</x:v>
      </x:c>
      <x:c r="J6" t="n">
        <x:v>0.1001803457397147</x:v>
      </x:c>
      <x:c r="K6" s="12" t="n">
        <x:f>ABS(VLOOKUP(C6,Benchmark_Properties!$A$2:$B$16,2,FALSE)-VLOOKUP(F6,Benchmark_Properties!$A$2:$B$16,2,FALSE))</x:f>
        <x:v>44.89999999999998</x:v>
      </x:c>
    </x:row>
    <x:row r="7">
      <x:c r="A7" t="n">
        <x:v>6</x:v>
      </x:c>
      <x:c r="B7" t="n">
        <x:v>17</x:v>
      </x:c>
      <x:c r="C7" t="inlineStr">
        <x:is>
          <x:t xml:space="preserve">SrAl2O4</x:t>
        </x:is>
      </x:c>
      <x:c r="D7" t="n">
        <x:v>0</x:v>
      </x:c>
      <x:c r="E7" t="n">
        <x:v>153</x:v>
      </x:c>
      <x:c r="F7" t="inlineStr">
        <x:is>
          <x:t xml:space="preserve">Ba3Si6(NO6)2</x:t>
        </x:is>
      </x:c>
      <x:c r="G7" t="n">
        <x:v>0</x:v>
      </x:c>
      <x:c r="H7" t="b">
        <x:v>1</x:v>
      </x:c>
      <x:c r="I7" t="n">
        <x:v>0.3979902057799498</x:v>
      </x:c>
      <x:c r="J7" t="n">
        <x:v>0.157959720959747</x:v>
      </x:c>
      <x:c r="K7" s="12" t="n">
        <x:f>ABS(VLOOKUP(C7,Benchmark_Properties!$A$2:$B$16,2,FALSE)-VLOOKUP(F7,Benchmark_Properties!$A$2:$B$16,2,FALSE))</x:f>
        <x:v>64.80000000000001</x:v>
      </x:c>
    </x:row>
    <x:row r="8">
      <x:c r="A8" t="n">
        <x:v>7</x:v>
      </x:c>
      <x:c r="B8" t="n">
        <x:v>15</x:v>
      </x:c>
      <x:c r="C8" t="inlineStr">
        <x:is>
          <x:t xml:space="preserve">Rb2ZrSi2O7</x:t>
        </x:is>
      </x:c>
      <x:c r="D8" t="n">
        <x:v>3</x:v>
      </x:c>
      <x:c r="E8" t="n">
        <x:v>171</x:v>
      </x:c>
      <x:c r="F8" t="inlineStr">
        <x:is>
          <x:t xml:space="preserve">BaLi2SiO4</x:t>
        </x:is>
      </x:c>
      <x:c r="G8" t="n">
        <x:v>3</x:v>
      </x:c>
      <x:c r="H8" t="b">
        <x:v>1</x:v>
      </x:c>
      <x:c r="I8" t="n">
        <x:v>0.4688041607063585</x:v>
      </x:c>
      <x:c r="J8" t="n">
        <x:v>0.1860653185291914</x:v>
      </x:c>
      <x:c r="K8" s="12" t="n">
        <x:f>ABS(VLOOKUP(C8,Benchmark_Properties!$A$2:$B$16,2,FALSE)-VLOOKUP(F8,Benchmark_Properties!$A$2:$B$16,2,FALSE))</x:f>
        <x:v>42.89999999999998</x:v>
      </x:c>
    </x:row>
    <x:row r="9">
      <x:c r="A9" t="n">
        <x:v>8</x:v>
      </x:c>
      <x:c r="B9" t="n">
        <x:v>95</x:v>
      </x:c>
      <x:c r="C9" t="inlineStr">
        <x:is>
          <x:t xml:space="preserve">Na3YSi2O7</x:t>
        </x:is>
      </x:c>
      <x:c r="D9" t="n">
        <x:v>3</x:v>
      </x:c>
      <x:c r="E9" t="n">
        <x:v>171</x:v>
      </x:c>
      <x:c r="F9" t="inlineStr">
        <x:is>
          <x:t xml:space="preserve">BaLi2SiO4</x:t>
        </x:is>
      </x:c>
      <x:c r="G9" t="n">
        <x:v>3</x:v>
      </x:c>
      <x:c r="H9" t="b">
        <x:v>1</x:v>
      </x:c>
      <x:c r="I9" t="n">
        <x:v>0.479141866608592</x:v>
      </x:c>
      <x:c r="J9" t="n">
        <x:v>0.1901682866825926</x:v>
      </x:c>
      <x:c r="K9" s="12" t="n">
        <x:f>ABS(VLOOKUP(C9,Benchmark_Properties!$A$2:$B$16,2,FALSE)-VLOOKUP(F9,Benchmark_Properties!$A$2:$B$16,2,FALSE))</x:f>
        <x:v>184.70000000000005</x:v>
      </x:c>
    </x:row>
    <x:row r="10">
      <x:c r="A10" t="n">
        <x:v>9</x:v>
      </x:c>
      <x:c r="B10" t="n">
        <x:v>171</x:v>
      </x:c>
      <x:c r="C10" t="inlineStr">
        <x:is>
          <x:t xml:space="preserve">BaLi2SiO4</x:t>
        </x:is>
      </x:c>
      <x:c r="D10" t="n">
        <x:v>3</x:v>
      </x:c>
      <x:c r="E10" t="n">
        <x:v>283</x:v>
      </x:c>
      <x:c r="F10" t="inlineStr">
        <x:is>
          <x:t xml:space="preserve">RbLi7(SiO4)2</x:t>
        </x:is>
      </x:c>
      <x:c r="G10" t="n">
        <x:v>3</x:v>
      </x:c>
      <x:c r="H10" t="b">
        <x:v>1</x:v>
      </x:c>
      <x:c r="I10" t="n">
        <x:v>0.4826733751392916</x:v>
      </x:c>
      <x:c r="J10" t="n">
        <x:v>0.1915699194212252</x:v>
      </x:c>
      <x:c r="K10" s="12" t="n">
        <x:f>ABS(VLOOKUP(C10,Benchmark_Properties!$A$2:$B$16,2,FALSE)-VLOOKUP(F10,Benchmark_Properties!$A$2:$B$16,2,FALSE))</x:f>
        <x:v>107.79999999999995</x:v>
      </x:c>
    </x:row>
    <x:row r="11">
      <x:c r="A11" t="n">
        <x:v>10</x:v>
      </x:c>
      <x:c r="B11" t="n">
        <x:v>111</x:v>
      </x:c>
      <x:c r="C11" t="inlineStr">
        <x:is>
          <x:t xml:space="preserve">Ba2MgSi2O7</x:t>
        </x:is>
      </x:c>
      <x:c r="D11" t="n">
        <x:v>0</x:v>
      </x:c>
      <x:c r="E11" t="n">
        <x:v>180</x:v>
      </x:c>
      <x:c r="F11" t="inlineStr">
        <x:is>
          <x:t xml:space="preserve">Ba6Y2Al4O15</x:t>
        </x:is>
      </x:c>
      <x:c r="G11" t="n">
        <x:v>0</x:v>
      </x:c>
      <x:c r="H11" t="b">
        <x:v>1</x:v>
      </x:c>
      <x:c r="I11" t="n">
        <x:v>0.4862003143201472</x:v>
      </x:c>
      <x:c r="J11" t="n">
        <x:v>0.1929697386146602</x:v>
      </x:c>
      <x:c r="K11" s="12" t="n">
        <x:f>ABS(VLOOKUP(C11,Benchmark_Properties!$A$2:$B$16,2,FALSE)-VLOOKUP(F11,Benchmark_Properties!$A$2:$B$16,2,FALSE))</x:f>
        <x:v>8.800000000000011</x:v>
      </x:c>
    </x:row>
    <x:row r="12">
      <x:c r="A12" t="n">
        <x:v>11</x:v>
      </x:c>
      <x:c r="B12" t="n">
        <x:v>17</x:v>
      </x:c>
      <x:c r="C12" t="inlineStr">
        <x:is>
          <x:t xml:space="preserve">SrAl2O4</x:t>
        </x:is>
      </x:c>
      <x:c r="D12" t="n">
        <x:v>0</x:v>
      </x:c>
      <x:c r="E12" t="n">
        <x:v>111</x:v>
      </x:c>
      <x:c r="F12" t="inlineStr">
        <x:is>
          <x:t xml:space="preserve">Ba2MgSi2O7</x:t>
        </x:is>
      </x:c>
      <x:c r="G12" t="n">
        <x:v>0</x:v>
      </x:c>
      <x:c r="H12" t="b">
        <x:v>1</x:v>
      </x:c>
      <x:c r="I12" t="n">
        <x:v>0.4968388142646467</x:v>
      </x:c>
      <x:c r="J12" t="n">
        <x:v>0.1971920899646644</x:v>
      </x:c>
      <x:c r="K12" s="12" t="n">
        <x:f>ABS(VLOOKUP(C12,Benchmark_Properties!$A$2:$B$16,2,FALSE)-VLOOKUP(F12,Benchmark_Properties!$A$2:$B$16,2,FALSE))</x:f>
        <x:v>73.39999999999998</x:v>
      </x:c>
    </x:row>
    <x:row r="13">
      <x:c r="A13" t="n">
        <x:v>12</x:v>
      </x:c>
      <x:c r="B13" t="n">
        <x:v>16</x:v>
      </x:c>
      <x:c r="C13" t="inlineStr">
        <x:is>
          <x:t xml:space="preserve">Sr2LiSiO4F</x:t>
        </x:is>
      </x:c>
      <x:c r="D13" t="n">
        <x:v>3</x:v>
      </x:c>
      <x:c r="E13" t="n">
        <x:v>95</x:v>
      </x:c>
      <x:c r="F13" t="inlineStr">
        <x:is>
          <x:t xml:space="preserve">Na3YSi2O7</x:t>
        </x:is>
      </x:c>
      <x:c r="G13" t="n">
        <x:v>3</x:v>
      </x:c>
      <x:c r="H13" t="b">
        <x:v>1</x:v>
      </x:c>
      <x:c r="I13" t="n">
        <x:v>0.5434781399179833</x:v>
      </x:c>
      <x:c r="J13" t="n">
        <x:v>0.2157029346009396</x:v>
      </x:c>
      <x:c r="K13" s="12" t="n">
        <x:f>ABS(VLOOKUP(C13,Benchmark_Properties!$A$2:$B$16,2,FALSE)-VLOOKUP(F13,Benchmark_Properties!$A$2:$B$16,2,FALSE))</x:f>
        <x:v>139.80000000000007</x:v>
      </x:c>
    </x:row>
    <x:row r="14">
      <x:c r="A14" t="n">
        <x:v>13</x:v>
      </x:c>
      <x:c r="B14" t="n">
        <x:v>14</x:v>
      </x:c>
      <x:c r="C14" t="inlineStr">
        <x:is>
          <x:t xml:space="preserve">K2RbNaLi12(SiO4)4</x:t>
        </x:is>
      </x:c>
      <x:c r="D14" t="n">
        <x:v>3</x:v>
      </x:c>
      <x:c r="E14" t="n">
        <x:v>171</x:v>
      </x:c>
      <x:c r="F14" t="inlineStr">
        <x:is>
          <x:t xml:space="preserve">BaLi2SiO4</x:t>
        </x:is>
      </x:c>
      <x:c r="G14" t="n">
        <x:v>3</x:v>
      </x:c>
      <x:c r="H14" t="b">
        <x:v>1</x:v>
      </x:c>
      <x:c r="I14" t="n">
        <x:v>0.5517612365962244</x:v>
      </x:c>
      <x:c r="J14" t="n">
        <x:v>0.2189904417329643</x:v>
      </x:c>
      <x:c r="K14" s="12" t="n">
        <x:f>ABS(VLOOKUP(C14,Benchmark_Properties!$A$2:$B$16,2,FALSE)-VLOOKUP(F14,Benchmark_Properties!$A$2:$B$16,2,FALSE))</x:f>
        <x:v>189.39999999999998</x:v>
      </x:c>
    </x:row>
    <x:row r="15">
      <x:c r="A15" t="n">
        <x:v>14</x:v>
      </x:c>
      <x:c r="B15" t="n">
        <x:v>17</x:v>
      </x:c>
      <x:c r="C15" t="inlineStr">
        <x:is>
          <x:t xml:space="preserve">SrAl2O4</x:t>
        </x:is>
      </x:c>
      <x:c r="D15" t="n">
        <x:v>0</x:v>
      </x:c>
      <x:c r="E15" t="n">
        <x:v>157</x:v>
      </x:c>
      <x:c r="F15" t="inlineStr">
        <x:is>
          <x:t xml:space="preserve">BaNa(B3O5)3</x:t>
        </x:is>
      </x:c>
      <x:c r="G15" t="n">
        <x:v>0</x:v>
      </x:c>
      <x:c r="H15" t="b">
        <x:v>1</x:v>
      </x:c>
      <x:c r="I15" t="n">
        <x:v>0.5871634687776695</x:v>
      </x:c>
      <x:c r="J15" t="n">
        <x:v>0.2330413571462575</x:v>
      </x:c>
      <x:c r="K15" s="12" t="n">
        <x:f>ABS(VLOOKUP(C15,Benchmark_Properties!$A$2:$B$16,2,FALSE)-VLOOKUP(F15,Benchmark_Properties!$A$2:$B$16,2,FALSE))</x:f>
        <x:v>94.80000000000001</x:v>
      </x:c>
    </x:row>
    <x:row r="16">
      <x:c r="A16" t="n">
        <x:v>15</x:v>
      </x:c>
      <x:c r="B16" t="n">
        <x:v>153</x:v>
      </x:c>
      <x:c r="C16" t="inlineStr">
        <x:is>
          <x:t xml:space="preserve">Ba3Si6(NO6)2</x:t>
        </x:is>
      </x:c>
      <x:c r="D16" t="n">
        <x:v>0</x:v>
      </x:c>
      <x:c r="E16" t="n">
        <x:v>180</x:v>
      </x:c>
      <x:c r="F16" t="inlineStr">
        <x:is>
          <x:t xml:space="preserve">Ba6Y2Al4O15</x:t>
        </x:is>
      </x:c>
      <x:c r="G16" t="n">
        <x:v>0</x:v>
      </x:c>
      <x:c r="H16" t="b">
        <x:v>1</x:v>
      </x:c>
      <x:c r="I16" t="n">
        <x:v>0.6185699609618166</x:v>
      </x:c>
      <x:c r="J16" t="n">
        <x:v>0.2455063893749031</x:v>
      </x:c>
      <x:c r="K16" s="12" t="n">
        <x:f>ABS(VLOOKUP(C16,Benchmark_Properties!$A$2:$B$16,2,FALSE)-VLOOKUP(F16,Benchmark_Properties!$A$2:$B$16,2,FALSE))</x:f>
        <x:v>17.399999999999977</x:v>
      </x:c>
    </x:row>
    <x:row r="17">
      <x:c r="A17" t="n">
        <x:v>16</x:v>
      </x:c>
      <x:c r="B17" t="n">
        <x:v>144</x:v>
      </x:c>
      <x:c r="C17" t="inlineStr">
        <x:is>
          <x:t xml:space="preserve">Ba2Mg(PO4)2</x:t>
        </x:is>
      </x:c>
      <x:c r="D17" t="n">
        <x:v>1</x:v>
      </x:c>
      <x:c r="E17" t="n">
        <x:v>153</x:v>
      </x:c>
      <x:c r="F17" t="inlineStr">
        <x:is>
          <x:t xml:space="preserve">Ba3Si6(NO6)2</x:t>
        </x:is>
      </x:c>
      <x:c r="G17" t="n">
        <x:v>0</x:v>
      </x:c>
      <x:c r="H17" t="b">
        <x:v>0</x:v>
      </x:c>
      <x:c r="I17" t="n">
        <x:v>0.6456622685777874</x:v>
      </x:c>
      <x:c r="J17" t="n">
        <x:v>0.2562591498424321</x:v>
      </x:c>
      <x:c r="K17" s="12" t="n">
        <x:f>ABS(VLOOKUP(C17,Benchmark_Properties!$A$2:$B$16,2,FALSE)-VLOOKUP(F17,Benchmark_Properties!$A$2:$B$16,2,FALSE))</x:f>
        <x:v>76.29999999999995</x:v>
      </x:c>
    </x:row>
    <x:row r="18">
      <x:c r="A18" t="n">
        <x:v>17</x:v>
      </x:c>
      <x:c r="B18" t="n">
        <x:v>111</x:v>
      </x:c>
      <x:c r="C18" t="inlineStr">
        <x:is>
          <x:t xml:space="preserve">Ba2MgSi2O7</x:t>
        </x:is>
      </x:c>
      <x:c r="D18" t="n">
        <x:v>0</x:v>
      </x:c>
      <x:c r="E18" t="n">
        <x:v>144</x:v>
      </x:c>
      <x:c r="F18" t="inlineStr">
        <x:is>
          <x:t xml:space="preserve">Ba2Mg(PO4)2</x:t>
        </x:is>
      </x:c>
      <x:c r="G18" t="n">
        <x:v>1</x:v>
      </x:c>
      <x:c r="H18" t="b">
        <x:v>0</x:v>
      </x:c>
      <x:c r="I18" t="n">
        <x:v>0.6472130963595389</x:v>
      </x:c>
      <x:c r="J18" t="n">
        <x:v>0.2568746632900106</x:v>
      </x:c>
      <x:c r="K18" s="12" t="n">
        <x:f>ABS(VLOOKUP(C18,Benchmark_Properties!$A$2:$B$16,2,FALSE)-VLOOKUP(F18,Benchmark_Properties!$A$2:$B$16,2,FALSE))</x:f>
        <x:v>67.69999999999999</x:v>
      </x:c>
    </x:row>
    <x:row r="19">
      <x:c r="A19" t="n">
        <x:v>18</x:v>
      </x:c>
      <x:c r="B19" t="n">
        <x:v>17</x:v>
      </x:c>
      <x:c r="C19" t="inlineStr">
        <x:is>
          <x:t xml:space="preserve">SrAl2O4</x:t>
        </x:is>
      </x:c>
      <x:c r="D19" t="n">
        <x:v>0</x:v>
      </x:c>
      <x:c r="E19" t="n">
        <x:v>180</x:v>
      </x:c>
      <x:c r="F19" t="inlineStr">
        <x:is>
          <x:t xml:space="preserve">Ba6Y2Al4O15</x:t>
        </x:is>
      </x:c>
      <x:c r="G19" t="n">
        <x:v>0</x:v>
      </x:c>
      <x:c r="H19" t="b">
        <x:v>1</x:v>
      </x:c>
      <x:c r="I19" t="n">
        <x:v>0.6600986807465228</x:v>
      </x:c>
      <x:c r="J19" t="n">
        <x:v>0.2619888678222111</x:v>
      </x:c>
      <x:c r="K19" s="12" t="n">
        <x:f>ABS(VLOOKUP(C19,Benchmark_Properties!$A$2:$B$16,2,FALSE)-VLOOKUP(F19,Benchmark_Properties!$A$2:$B$16,2,FALSE))</x:f>
        <x:v>82.19999999999999</x:v>
      </x:c>
    </x:row>
    <x:row r="20">
      <x:c r="A20" t="n">
        <x:v>19</x:v>
      </x:c>
      <x:c r="B20" t="n">
        <x:v>95</x:v>
      </x:c>
      <x:c r="C20" t="inlineStr">
        <x:is>
          <x:t xml:space="preserve">Na3YSi2O7</x:t>
        </x:is>
      </x:c>
      <x:c r="D20" t="n">
        <x:v>3</x:v>
      </x:c>
      <x:c r="E20" t="n">
        <x:v>261</x:v>
      </x:c>
      <x:c r="F20" t="inlineStr">
        <x:is>
          <x:t xml:space="preserve">NaCaPO4</x:t>
        </x:is>
      </x:c>
      <x:c r="G20" t="n">
        <x:v>3</x:v>
      </x:c>
      <x:c r="H20" t="b">
        <x:v>1</x:v>
      </x:c>
      <x:c r="I20" t="n">
        <x:v>0.6808725142337986</x:v>
      </x:c>
      <x:c r="J20" t="n">
        <x:v>0.2702338670539979</x:v>
      </x:c>
      <x:c r="K20" s="12" t="n">
        <x:f>ABS(VLOOKUP(C20,Benchmark_Properties!$A$2:$B$16,2,FALSE)-VLOOKUP(F20,Benchmark_Properties!$A$2:$B$16,2,FALSE))</x:f>
        <x:v>135.50000000000006</x:v>
      </x:c>
    </x:row>
    <x:row r="21">
      <x:c r="A21" t="n">
        <x:v>20</x:v>
      </x:c>
      <x:c r="B21" t="n">
        <x:v>111</x:v>
      </x:c>
      <x:c r="C21" t="inlineStr">
        <x:is>
          <x:t xml:space="preserve">Ba2MgSi2O7</x:t>
        </x:is>
      </x:c>
      <x:c r="D21" t="n">
        <x:v>0</x:v>
      </x:c>
      <x:c r="E21" t="n">
        <x:v>142</x:v>
      </x:c>
      <x:c r="F21" t="inlineStr">
        <x:is>
          <x:t xml:space="preserve">Ba2Ca(BO3)2</x:t>
        </x:is>
      </x:c>
      <x:c r="G21" t="n">
        <x:v>0</x:v>
      </x:c>
      <x:c r="H21" t="b">
        <x:v>1</x:v>
      </x:c>
      <x:c r="I21" t="n">
        <x:v>0.6830578139412133</x:v>
      </x:c>
      <x:c r="J21" t="n">
        <x:v>0.2711011982771876</x:v>
      </x:c>
      <x:c r="K21" s="12" t="n">
        <x:f>ABS(VLOOKUP(C21,Benchmark_Properties!$A$2:$B$16,2,FALSE)-VLOOKUP(F21,Benchmark_Properties!$A$2:$B$16,2,FALSE))</x:f>
        <x:v>37.69999999999999</x:v>
      </x:c>
    </x:row>
    <x:row r="22">
      <x:c r="A22" t="n">
        <x:v>21</x:v>
      </x:c>
      <x:c r="B22" t="n">
        <x:v>16</x:v>
      </x:c>
      <x:c r="C22" t="inlineStr">
        <x:is>
          <x:t xml:space="preserve">Sr2LiSiO4F</x:t>
        </x:is>
      </x:c>
      <x:c r="D22" t="n">
        <x:v>3</x:v>
      </x:c>
      <x:c r="E22" t="n">
        <x:v>283</x:v>
      </x:c>
      <x:c r="F22" t="inlineStr">
        <x:is>
          <x:t xml:space="preserve">RbLi7(SiO4)2</x:t>
        </x:is>
      </x:c>
      <x:c r="G22" t="n">
        <x:v>3</x:v>
      </x:c>
      <x:c r="H22" t="b">
        <x:v>1</x:v>
      </x:c>
      <x:c r="I22" t="n">
        <x:v>0.7191072045728091</x:v>
      </x:c>
      <x:c r="J22" t="n">
        <x:v>0.2854089666650464</x:v>
      </x:c>
      <x:c r="K22" s="12" t="n">
        <x:f>ABS(VLOOKUP(C22,Benchmark_Properties!$A$2:$B$16,2,FALSE)-VLOOKUP(F22,Benchmark_Properties!$A$2:$B$16,2,FALSE))</x:f>
        <x:v>62.89999999999998</x:v>
      </x:c>
    </x:row>
    <x:row r="23">
      <x:c r="A23" t="n">
        <x:v>22</x:v>
      </x:c>
      <x:c r="B23" t="n">
        <x:v>15</x:v>
      </x:c>
      <x:c r="C23" t="inlineStr">
        <x:is>
          <x:t xml:space="preserve">Rb2ZrSi2O7</x:t>
        </x:is>
      </x:c>
      <x:c r="D23" t="n">
        <x:v>3</x:v>
      </x:c>
      <x:c r="E23" t="n">
        <x:v>95</x:v>
      </x:c>
      <x:c r="F23" t="inlineStr">
        <x:is>
          <x:t xml:space="preserve">Na3YSi2O7</x:t>
        </x:is>
      </x:c>
      <x:c r="G23" t="n">
        <x:v>3</x:v>
      </x:c>
      <x:c r="H23" t="b">
        <x:v>1</x:v>
      </x:c>
      <x:c r="I23" t="n">
        <x:v>0.7243814626277207</x:v>
      </x:c>
      <x:c r="J23" t="n">
        <x:v>0.2875022853410446</x:v>
      </x:c>
      <x:c r="K23" s="12" t="n">
        <x:f>ABS(VLOOKUP(C23,Benchmark_Properties!$A$2:$B$16,2,FALSE)-VLOOKUP(F23,Benchmark_Properties!$A$2:$B$16,2,FALSE))</x:f>
        <x:v>227.60000000000002</x:v>
      </x:c>
    </x:row>
    <x:row r="24">
      <x:c r="A24" t="n">
        <x:v>23</x:v>
      </x:c>
      <x:c r="B24" t="n">
        <x:v>95</x:v>
      </x:c>
      <x:c r="C24" t="inlineStr">
        <x:is>
          <x:t xml:space="preserve">Na3YSi2O7</x:t>
        </x:is>
      </x:c>
      <x:c r="D24" t="n">
        <x:v>3</x:v>
      </x:c>
      <x:c r="E24" t="n">
        <x:v>283</x:v>
      </x:c>
      <x:c r="F24" t="inlineStr">
        <x:is>
          <x:t xml:space="preserve">RbLi7(SiO4)2</x:t>
        </x:is>
      </x:c>
      <x:c r="G24" t="n">
        <x:v>3</x:v>
      </x:c>
      <x:c r="H24" t="b">
        <x:v>1</x:v>
      </x:c>
      <x:c r="I24" t="n">
        <x:v>0.7452623635713574</x:v>
      </x:c>
      <x:c r="J24" t="n">
        <x:v>0.2957897789490371</x:v>
      </x:c>
      <x:c r="K24" s="12" t="n">
        <x:f>ABS(VLOOKUP(C24,Benchmark_Properties!$A$2:$B$16,2,FALSE)-VLOOKUP(F24,Benchmark_Properties!$A$2:$B$16,2,FALSE))</x:f>
        <x:v>76.90000000000009</x:v>
      </x:c>
    </x:row>
    <x:row r="25">
      <x:c r="A25" t="n">
        <x:v>24</x:v>
      </x:c>
      <x:c r="B25" t="n">
        <x:v>17</x:v>
      </x:c>
      <x:c r="C25" t="inlineStr">
        <x:is>
          <x:t xml:space="preserve">SrAl2O4</x:t>
        </x:is>
      </x:c>
      <x:c r="D25" t="n">
        <x:v>0</x:v>
      </x:c>
      <x:c r="E25" t="n">
        <x:v>142</x:v>
      </x:c>
      <x:c r="F25" t="inlineStr">
        <x:is>
          <x:t xml:space="preserve">Ba2Ca(BO3)2</x:t>
        </x:is>
      </x:c>
      <x:c r="G25" t="n">
        <x:v>0</x:v>
      </x:c>
      <x:c r="H25" t="b">
        <x:v>1</x:v>
      </x:c>
      <x:c r="I25" t="n">
        <x:v>0.7557184849363903</x:v>
      </x:c>
      <x:c r="J25" t="n">
        <x:v>0.2999397454285013</x:v>
      </x:c>
      <x:c r="K25" s="12" t="n">
        <x:f>ABS(VLOOKUP(C25,Benchmark_Properties!$A$2:$B$16,2,FALSE)-VLOOKUP(F25,Benchmark_Properties!$A$2:$B$16,2,FALSE))</x:f>
        <x:v>111.09999999999997</x:v>
      </x:c>
    </x:row>
    <x:row r="26">
      <x:c r="A26" t="n">
        <x:v>25</x:v>
      </x:c>
      <x:c r="B26" t="n">
        <x:v>142</x:v>
      </x:c>
      <x:c r="C26" t="inlineStr">
        <x:is>
          <x:t xml:space="preserve">Ba2Ca(BO3)2</x:t>
        </x:is>
      </x:c>
      <x:c r="D26" t="n">
        <x:v>0</x:v>
      </x:c>
      <x:c r="E26" t="n">
        <x:v>153</x:v>
      </x:c>
      <x:c r="F26" t="inlineStr">
        <x:is>
          <x:t xml:space="preserve">Ba3Si6(NO6)2</x:t>
        </x:is>
      </x:c>
      <x:c r="G26" t="n">
        <x:v>0</x:v>
      </x:c>
      <x:c r="H26" t="b">
        <x:v>1</x:v>
      </x:c>
      <x:c r="I26" t="n">
        <x:v>0.7847461390608982</x:v>
      </x:c>
      <x:c r="J26" t="n">
        <x:v>0.311460632322282</x:v>
      </x:c>
      <x:c r="K26" s="12" t="n">
        <x:f>ABS(VLOOKUP(C26,Benchmark_Properties!$A$2:$B$16,2,FALSE)-VLOOKUP(F26,Benchmark_Properties!$A$2:$B$16,2,FALSE))</x:f>
        <x:v>46.299999999999955</x:v>
      </x:c>
    </x:row>
    <x:row r="27">
      <x:c r="A27" t="n">
        <x:v>26</x:v>
      </x:c>
      <x:c r="B27" t="n">
        <x:v>14</x:v>
      </x:c>
      <x:c r="C27" t="inlineStr">
        <x:is>
          <x:t xml:space="preserve">K2RbNaLi12(SiO4)4</x:t>
        </x:is>
      </x:c>
      <x:c r="D27" t="n">
        <x:v>3</x:v>
      </x:c>
      <x:c r="E27" t="n">
        <x:v>16</x:v>
      </x:c>
      <x:c r="F27" t="inlineStr">
        <x:is>
          <x:t xml:space="preserve">Sr2LiSiO4F</x:t>
        </x:is>
      </x:c>
      <x:c r="G27" t="n">
        <x:v>3</x:v>
      </x:c>
      <x:c r="H27" t="b">
        <x:v>1</x:v>
      </x:c>
      <x:c r="I27" t="n">
        <x:v>0.7852678243709672</x:v>
      </x:c>
      <x:c r="J27" t="n">
        <x:v>0.3116676858246309</x:v>
      </x:c>
      <x:c r="K27" s="12" t="n">
        <x:f>ABS(VLOOKUP(C27,Benchmark_Properties!$A$2:$B$16,2,FALSE)-VLOOKUP(F27,Benchmark_Properties!$A$2:$B$16,2,FALSE))</x:f>
        <x:v>144.5</x:v>
      </x:c>
    </x:row>
    <x:row r="28">
      <x:c r="A28" t="n">
        <x:v>27</x:v>
      </x:c>
      <x:c r="B28" t="n">
        <x:v>14</x:v>
      </x:c>
      <x:c r="C28" t="inlineStr">
        <x:is>
          <x:t xml:space="preserve">K2RbNaLi12(SiO4)4</x:t>
        </x:is>
      </x:c>
      <x:c r="D28" t="n">
        <x:v>3</x:v>
      </x:c>
      <x:c r="E28" t="n">
        <x:v>95</x:v>
      </x:c>
      <x:c r="F28" t="inlineStr">
        <x:is>
          <x:t xml:space="preserve">Na3YSi2O7</x:t>
        </x:is>
      </x:c>
      <x:c r="G28" t="n">
        <x:v>3</x:v>
      </x:c>
      <x:c r="H28" t="b">
        <x:v>1</x:v>
      </x:c>
      <x:c r="I28" t="n">
        <x:v>0.8305693497173969</x:v>
      </x:c>
      <x:c r="J28" t="n">
        <x:v>0.3296475662308574</x:v>
      </x:c>
      <x:c r="K28" s="12" t="n">
        <x:f>ABS(VLOOKUP(C28,Benchmark_Properties!$A$2:$B$16,2,FALSE)-VLOOKUP(F28,Benchmark_Properties!$A$2:$B$16,2,FALSE))</x:f>
        <x:v>4.699999999999932</x:v>
      </x:c>
    </x:row>
    <x:row r="29">
      <x:c r="A29" t="n">
        <x:v>28</x:v>
      </x:c>
      <x:c r="B29" t="n">
        <x:v>157</x:v>
      </x:c>
      <x:c r="C29" t="inlineStr">
        <x:is>
          <x:t xml:space="preserve">BaNa(B3O5)3</x:t>
        </x:is>
      </x:c>
      <x:c r="D29" t="n">
        <x:v>0</x:v>
      </x:c>
      <x:c r="E29" t="n">
        <x:v>180</x:v>
      </x:c>
      <x:c r="F29" t="inlineStr">
        <x:is>
          <x:t xml:space="preserve">Ba6Y2Al4O15</x:t>
        </x:is>
      </x:c>
      <x:c r="G29" t="n">
        <x:v>0</x:v>
      </x:c>
      <x:c r="H29" t="b">
        <x:v>1</x:v>
      </x:c>
      <x:c r="I29" t="n">
        <x:v>0.8892042982229289</x:v>
      </x:c>
      <x:c r="J29" t="n">
        <x:v>0.3529193954616097</x:v>
      </x:c>
      <x:c r="K29" s="12" t="n">
        <x:f>ABS(VLOOKUP(C29,Benchmark_Properties!$A$2:$B$16,2,FALSE)-VLOOKUP(F29,Benchmark_Properties!$A$2:$B$16,2,FALSE))</x:f>
        <x:v>12.600000000000023</x:v>
      </x:c>
    </x:row>
    <x:row r="30">
      <x:c r="A30" t="n">
        <x:v>29</x:v>
      </x:c>
      <x:c r="B30" t="n">
        <x:v>142</x:v>
      </x:c>
      <x:c r="C30" t="inlineStr">
        <x:is>
          <x:t xml:space="preserve">Ba2Ca(BO3)2</x:t>
        </x:is>
      </x:c>
      <x:c r="D30" t="n">
        <x:v>0</x:v>
      </x:c>
      <x:c r="E30" t="n">
        <x:v>157</x:v>
      </x:c>
      <x:c r="F30" t="inlineStr">
        <x:is>
          <x:t xml:space="preserve">BaNa(B3O5)3</x:t>
        </x:is>
      </x:c>
      <x:c r="G30" t="n">
        <x:v>0</x:v>
      </x:c>
      <x:c r="H30" t="b">
        <x:v>1</x:v>
      </x:c>
      <x:c r="I30" t="n">
        <x:v>0.8954536202837898</x:v>
      </x:c>
      <x:c r="J30" t="n">
        <x:v>0.3553997106919473</x:v>
      </x:c>
      <x:c r="K30" s="12" t="n">
        <x:f>ABS(VLOOKUP(C30,Benchmark_Properties!$A$2:$B$16,2,FALSE)-VLOOKUP(F30,Benchmark_Properties!$A$2:$B$16,2,FALSE))</x:f>
        <x:v>16.299999999999955</x:v>
      </x:c>
    </x:row>
    <x:row r="31">
      <x:c r="A31" t="n">
        <x:v>30</x:v>
      </x:c>
      <x:c r="B31" t="n">
        <x:v>15</x:v>
      </x:c>
      <x:c r="C31" t="inlineStr">
        <x:is>
          <x:t xml:space="preserve">Rb2ZrSi2O7</x:t>
        </x:is>
      </x:c>
      <x:c r="D31" t="n">
        <x:v>3</x:v>
      </x:c>
      <x:c r="E31" t="n">
        <x:v>157</x:v>
      </x:c>
      <x:c r="F31" t="inlineStr">
        <x:is>
          <x:t xml:space="preserve">BaNa(B3O5)3</x:t>
        </x:is>
      </x:c>
      <x:c r="G31" t="n">
        <x:v>0</x:v>
      </x:c>
      <x:c r="H31" t="b">
        <x:v>0</x:v>
      </x:c>
      <x:c r="I31" t="n">
        <x:v>0.914489971603789</x:v>
      </x:c>
      <x:c r="J31" t="n">
        <x:v>0.3629551145660349</x:v>
      </x:c>
      <x:c r="K31" s="12" t="n">
        <x:f>ABS(VLOOKUP(C31,Benchmark_Properties!$A$2:$B$16,2,FALSE)-VLOOKUP(F31,Benchmark_Properties!$A$2:$B$16,2,FALSE))</x:f>
        <x:v>7.2999999999999545</x:v>
      </x:c>
    </x:row>
    <x:row r="32">
      <x:c r="A32" t="n">
        <x:v>31</x:v>
      </x:c>
      <x:c r="B32" t="n">
        <x:v>15</x:v>
      </x:c>
      <x:c r="C32" t="inlineStr">
        <x:is>
          <x:t xml:space="preserve">Rb2ZrSi2O7</x:t>
        </x:is>
      </x:c>
      <x:c r="D32" t="n">
        <x:v>3</x:v>
      </x:c>
      <x:c r="E32" t="n">
        <x:v>283</x:v>
      </x:c>
      <x:c r="F32" t="inlineStr">
        <x:is>
          <x:t xml:space="preserve">RbLi7(SiO4)2</x:t>
        </x:is>
      </x:c>
      <x:c r="G32" t="n">
        <x:v>3</x:v>
      </x:c>
      <x:c r="H32" t="b">
        <x:v>1</x:v>
      </x:c>
      <x:c r="I32" t="n">
        <x:v>0.9344818047393659</x:v>
      </x:c>
      <x:c r="J32" t="n">
        <x:v>0.3708897429506228</x:v>
      </x:c>
      <x:c r="K32" s="12" t="n">
        <x:f>ABS(VLOOKUP(C32,Benchmark_Properties!$A$2:$B$16,2,FALSE)-VLOOKUP(F32,Benchmark_Properties!$A$2:$B$16,2,FALSE))</x:f>
        <x:v>150.69999999999993</x:v>
      </x:c>
    </x:row>
    <x:row r="33">
      <x:c r="A33" t="n">
        <x:v>32</x:v>
      </x:c>
      <x:c r="B33" t="n">
        <x:v>153</x:v>
      </x:c>
      <x:c r="C33" t="inlineStr">
        <x:is>
          <x:t xml:space="preserve">Ba3Si6(NO6)2</x:t>
        </x:is>
      </x:c>
      <x:c r="D33" t="n">
        <x:v>0</x:v>
      </x:c>
      <x:c r="E33" t="n">
        <x:v>157</x:v>
      </x:c>
      <x:c r="F33" t="inlineStr">
        <x:is>
          <x:t xml:space="preserve">BaNa(B3O5)3</x:t>
        </x:is>
      </x:c>
      <x:c r="G33" t="n">
        <x:v>0</x:v>
      </x:c>
      <x:c r="H33" t="b">
        <x:v>1</x:v>
      </x:c>
      <x:c r="I33" t="n">
        <x:v>0.947884520196234</x:v>
      </x:c>
      <x:c r="J33" t="n">
        <x:v>0.3762091934369001</x:v>
      </x:c>
      <x:c r="K33" s="12" t="n">
        <x:f>ABS(VLOOKUP(C33,Benchmark_Properties!$A$2:$B$16,2,FALSE)-VLOOKUP(F33,Benchmark_Properties!$A$2:$B$16,2,FALSE))</x:f>
        <x:v>30</x:v>
      </x:c>
    </x:row>
    <x:row r="34">
      <x:c r="A34" t="n">
        <x:v>33</x:v>
      </x:c>
      <x:c r="B34" t="n">
        <x:v>111</x:v>
      </x:c>
      <x:c r="C34" t="inlineStr">
        <x:is>
          <x:t xml:space="preserve">Ba2MgSi2O7</x:t>
        </x:is>
      </x:c>
      <x:c r="D34" t="n">
        <x:v>0</x:v>
      </x:c>
      <x:c r="E34" t="n">
        <x:v>157</x:v>
      </x:c>
      <x:c r="F34" t="inlineStr">
        <x:is>
          <x:t xml:space="preserve">BaNa(B3O5)3</x:t>
        </x:is>
      </x:c>
      <x:c r="G34" t="n">
        <x:v>0</x:v>
      </x:c>
      <x:c r="H34" t="b">
        <x:v>1</x:v>
      </x:c>
      <x:c r="I34" t="n">
        <x:v>0.9491486486399571</x:v>
      </x:c>
      <x:c r="J34" t="n">
        <x:v>0.3767109177842027</x:v>
      </x:c>
      <x:c r="K34" s="12" t="n">
        <x:f>ABS(VLOOKUP(C34,Benchmark_Properties!$A$2:$B$16,2,FALSE)-VLOOKUP(F34,Benchmark_Properties!$A$2:$B$16,2,FALSE))</x:f>
        <x:v>21.400000000000034</x:v>
      </x:c>
    </x:row>
    <x:row r="35">
      <x:c r="A35" t="n">
        <x:v>34</x:v>
      </x:c>
      <x:c r="B35" t="n">
        <x:v>17</x:v>
      </x:c>
      <x:c r="C35" t="inlineStr">
        <x:is>
          <x:t xml:space="preserve">SrAl2O4</x:t>
        </x:is>
      </x:c>
      <x:c r="D35" t="n">
        <x:v>0</x:v>
      </x:c>
      <x:c r="E35" t="n">
        <x:v>144</x:v>
      </x:c>
      <x:c r="F35" t="inlineStr">
        <x:is>
          <x:t xml:space="preserve">Ba2Mg(PO4)2</x:t>
        </x:is>
      </x:c>
      <x:c r="G35" t="n">
        <x:v>1</x:v>
      </x:c>
      <x:c r="H35" t="b">
        <x:v>0</x:v>
      </x:c>
      <x:c r="I35" t="n">
        <x:v>0.956431271009786</x:v>
      </x:c>
      <x:c r="J35" t="n">
        <x:v>0.3796013431783126</x:v>
      </x:c>
      <x:c r="K35" s="12" t="n">
        <x:f>ABS(VLOOKUP(C35,Benchmark_Properties!$A$2:$B$16,2,FALSE)-VLOOKUP(F35,Benchmark_Properties!$A$2:$B$16,2,FALSE))</x:f>
        <x:v>141.09999999999997</x:v>
      </x:c>
    </x:row>
    <x:row r="36">
      <x:c r="A36" t="n">
        <x:v>35</x:v>
      </x:c>
      <x:c r="B36" t="n">
        <x:v>16</x:v>
      </x:c>
      <x:c r="C36" t="inlineStr">
        <x:is>
          <x:t xml:space="preserve">Sr2LiSiO4F</x:t>
        </x:is>
      </x:c>
      <x:c r="D36" t="n">
        <x:v>3</x:v>
      </x:c>
      <x:c r="E36" t="n">
        <x:v>261</x:v>
      </x:c>
      <x:c r="F36" t="inlineStr">
        <x:is>
          <x:t xml:space="preserve">NaCaPO4</x:t>
        </x:is>
      </x:c>
      <x:c r="G36" t="n">
        <x:v>3</x:v>
      </x:c>
      <x:c r="H36" t="b">
        <x:v>1</x:v>
      </x:c>
      <x:c r="I36" t="n">
        <x:v>0.9714452293105628</x:v>
      </x:c>
      <x:c r="J36" t="n">
        <x:v>0.3855602854569155</x:v>
      </x:c>
      <x:c r="K36" s="12" t="n">
        <x:f>ABS(VLOOKUP(C36,Benchmark_Properties!$A$2:$B$16,2,FALSE)-VLOOKUP(F36,Benchmark_Properties!$A$2:$B$16,2,FALSE))</x:f>
        <x:v>4.300000000000011</x:v>
      </x:c>
    </x:row>
    <x:row r="37">
      <x:c r="A37" t="n">
        <x:v>36</x:v>
      </x:c>
      <x:c r="B37" t="n">
        <x:v>95</x:v>
      </x:c>
      <x:c r="C37" t="inlineStr">
        <x:is>
          <x:t xml:space="preserve">Na3YSi2O7</x:t>
        </x:is>
      </x:c>
      <x:c r="D37" t="n">
        <x:v>3</x:v>
      </x:c>
      <x:c r="E37" t="n">
        <x:v>157</x:v>
      </x:c>
      <x:c r="F37" t="inlineStr">
        <x:is>
          <x:t xml:space="preserve">BaNa(B3O5)3</x:t>
        </x:is>
      </x:c>
      <x:c r="G37" t="n">
        <x:v>0</x:v>
      </x:c>
      <x:c r="H37" t="b">
        <x:v>0</x:v>
      </x:c>
      <x:c r="I37" t="n">
        <x:v>0.973407263568473</x:v>
      </x:c>
      <x:c r="J37" t="n">
        <x:v>0.3863390040771026</x:v>
      </x:c>
      <x:c r="K37" s="12" t="n">
        <x:f>ABS(VLOOKUP(C37,Benchmark_Properties!$A$2:$B$16,2,FALSE)-VLOOKUP(F37,Benchmark_Properties!$A$2:$B$16,2,FALSE))</x:f>
        <x:v>220.30000000000007</x:v>
      </x:c>
    </x:row>
    <x:row r="38">
      <x:c r="A38" t="n">
        <x:v>37</x:v>
      </x:c>
      <x:c r="B38" t="n">
        <x:v>14</x:v>
      </x:c>
      <x:c r="C38" t="inlineStr">
        <x:is>
          <x:t xml:space="preserve">K2RbNaLi12(SiO4)4</x:t>
        </x:is>
      </x:c>
      <x:c r="D38" t="n">
        <x:v>3</x:v>
      </x:c>
      <x:c r="E38" t="n">
        <x:v>15</x:v>
      </x:c>
      <x:c r="F38" t="inlineStr">
        <x:is>
          <x:t xml:space="preserve">Rb2ZrSi2O7</x:t>
        </x:is>
      </x:c>
      <x:c r="G38" t="n">
        <x:v>3</x:v>
      </x:c>
      <x:c r="H38" t="b">
        <x:v>1</x:v>
      </x:c>
      <x:c r="I38" t="n">
        <x:v>0.9926958313566289</x:v>
      </x:c>
      <x:c r="J38" t="n">
        <x:v>0.3939945110249667</x:v>
      </x:c>
      <x:c r="K38" s="12" t="n">
        <x:f>ABS(VLOOKUP(C38,Benchmark_Properties!$A$2:$B$16,2,FALSE)-VLOOKUP(F38,Benchmark_Properties!$A$2:$B$16,2,FALSE))</x:f>
        <x:v>232.29999999999995</x:v>
      </x:c>
    </x:row>
    <x:row r="39">
      <x:c r="A39" t="n">
        <x:v>38</x:v>
      </x:c>
      <x:c r="B39" t="n">
        <x:v>171</x:v>
      </x:c>
      <x:c r="C39" t="inlineStr">
        <x:is>
          <x:t xml:space="preserve">BaLi2SiO4</x:t>
        </x:is>
      </x:c>
      <x:c r="D39" t="n">
        <x:v>3</x:v>
      </x:c>
      <x:c r="E39" t="n">
        <x:v>261</x:v>
      </x:c>
      <x:c r="F39" t="inlineStr">
        <x:is>
          <x:t xml:space="preserve">NaCaPO4</x:t>
        </x:is>
      </x:c>
      <x:c r="G39" t="n">
        <x:v>3</x:v>
      </x:c>
      <x:c r="H39" t="b">
        <x:v>1</x:v>
      </x:c>
      <x:c r="I39" t="n">
        <x:v>1.000075104602925</x:v>
      </x:c>
      <x:c r="J39" t="n">
        <x:v>0.3969232965225556</x:v>
      </x:c>
      <x:c r="K39" s="12" t="n">
        <x:f>ABS(VLOOKUP(C39,Benchmark_Properties!$A$2:$B$16,2,FALSE)-VLOOKUP(F39,Benchmark_Properties!$A$2:$B$16,2,FALSE))</x:f>
        <x:v>49.19999999999999</x:v>
      </x:c>
    </x:row>
    <x:row r="40">
      <x:c r="A40" t="n">
        <x:v>39</x:v>
      </x:c>
      <x:c r="B40" t="n">
        <x:v>16</x:v>
      </x:c>
      <x:c r="C40" t="inlineStr">
        <x:is>
          <x:t xml:space="preserve">Sr2LiSiO4F</x:t>
        </x:is>
      </x:c>
      <x:c r="D40" t="n">
        <x:v>3</x:v>
      </x:c>
      <x:c r="E40" t="n">
        <x:v>157</x:v>
      </x:c>
      <x:c r="F40" t="inlineStr">
        <x:is>
          <x:t xml:space="preserve">BaNa(B3O5)3</x:t>
        </x:is>
      </x:c>
      <x:c r="G40" t="n">
        <x:v>0</x:v>
      </x:c>
      <x:c r="H40" t="b">
        <x:v>0</x:v>
      </x:c>
      <x:c r="I40" t="n">
        <x:v>1.014276255626491</x:v>
      </x:c>
      <x:c r="J40" t="n">
        <x:v>0.4025596408858386</x:v>
      </x:c>
      <x:c r="K40" s="12" t="n">
        <x:f>ABS(VLOOKUP(C40,Benchmark_Properties!$A$2:$B$16,2,FALSE)-VLOOKUP(F40,Benchmark_Properties!$A$2:$B$16,2,FALSE))</x:f>
        <x:v>80.5</x:v>
      </x:c>
    </x:row>
    <x:row r="41">
      <x:c r="A41" t="n">
        <x:v>40</x:v>
      </x:c>
      <x:c r="B41" t="n">
        <x:v>15</x:v>
      </x:c>
      <x:c r="C41" t="inlineStr">
        <x:is>
          <x:t xml:space="preserve">Rb2ZrSi2O7</x:t>
        </x:is>
      </x:c>
      <x:c r="D41" t="n">
        <x:v>3</x:v>
      </x:c>
      <x:c r="E41" t="n">
        <x:v>199</x:v>
      </x:c>
      <x:c r="F41" t="inlineStr">
        <x:is>
          <x:t xml:space="preserve">Cs2BaP2O7</x:t>
        </x:is>
      </x:c>
      <x:c r="G41" t="n">
        <x:v>2</x:v>
      </x:c>
      <x:c r="H41" t="b">
        <x:v>0</x:v>
      </x:c>
      <x:c r="I41" t="n">
        <x:v>1.107089537050122</x:v>
      </x:c>
      <x:c r="J41" t="n">
        <x:v>0.4393966278823005</x:v>
      </x:c>
      <x:c r="K41" s="12" t="n">
        <x:f>ABS(VLOOKUP(C41,Benchmark_Properties!$A$2:$B$16,2,FALSE)-VLOOKUP(F41,Benchmark_Properties!$A$2:$B$16,2,FALSE))</x:f>
        <x:v>181.8</x:v>
      </x:c>
    </x:row>
    <x:row r="42">
      <x:c r="A42" t="n">
        <x:v>41</x:v>
      </x:c>
      <x:c r="B42" t="n">
        <x:v>157</x:v>
      </x:c>
      <x:c r="C42" t="inlineStr">
        <x:is>
          <x:t xml:space="preserve">BaNa(B3O5)3</x:t>
        </x:is>
      </x:c>
      <x:c r="D42" t="n">
        <x:v>0</x:v>
      </x:c>
      <x:c r="E42" t="n">
        <x:v>171</x:v>
      </x:c>
      <x:c r="F42" t="inlineStr">
        <x:is>
          <x:t xml:space="preserve">BaLi2SiO4</x:t>
        </x:is>
      </x:c>
      <x:c r="G42" t="n">
        <x:v>3</x:v>
      </x:c>
      <x:c r="H42" t="b">
        <x:v>0</x:v>
      </x:c>
      <x:c r="I42" t="n">
        <x:v>1.110719923369282</x:v>
      </x:c>
      <x:c r="J42" t="n">
        <x:v>0.4408375045712802</x:v>
      </x:c>
      <x:c r="K42" s="12" t="n">
        <x:f>ABS(VLOOKUP(C42,Benchmark_Properties!$A$2:$B$16,2,FALSE)-VLOOKUP(F42,Benchmark_Properties!$A$2:$B$16,2,FALSE))</x:f>
        <x:v>35.60000000000002</x:v>
      </x:c>
    </x:row>
    <x:row r="43">
      <x:c r="A43" t="n">
        <x:v>42</x:v>
      </x:c>
      <x:c r="B43" t="n">
        <x:v>144</x:v>
      </x:c>
      <x:c r="C43" t="inlineStr">
        <x:is>
          <x:t xml:space="preserve">Ba2Mg(PO4)2</x:t>
        </x:is>
      </x:c>
      <x:c r="D43" t="n">
        <x:v>1</x:v>
      </x:c>
      <x:c r="E43" t="n">
        <x:v>180</x:v>
      </x:c>
      <x:c r="F43" t="inlineStr">
        <x:is>
          <x:t xml:space="preserve">Ba6Y2Al4O15</x:t>
        </x:is>
      </x:c>
      <x:c r="G43" t="n">
        <x:v>0</x:v>
      </x:c>
      <x:c r="H43" t="b">
        <x:v>0</x:v>
      </x:c>
      <x:c r="I43" t="n">
        <x:v>1.120115849196814</x:v>
      </x:c>
      <x:c r="J43" t="n">
        <x:v>0.4445666863459094</x:v>
      </x:c>
      <x:c r="K43" s="12" t="n">
        <x:f>ABS(VLOOKUP(C43,Benchmark_Properties!$A$2:$B$16,2,FALSE)-VLOOKUP(F43,Benchmark_Properties!$A$2:$B$16,2,FALSE))</x:f>
        <x:v>58.89999999999998</x:v>
      </x:c>
    </x:row>
    <x:row r="44">
      <x:c r="A44" t="n">
        <x:v>43</x:v>
      </x:c>
      <x:c r="B44" t="n">
        <x:v>15</x:v>
      </x:c>
      <x:c r="C44" t="inlineStr">
        <x:is>
          <x:t xml:space="preserve">Rb2ZrSi2O7</x:t>
        </x:is>
      </x:c>
      <x:c r="D44" t="n">
        <x:v>3</x:v>
      </x:c>
      <x:c r="E44" t="n">
        <x:v>261</x:v>
      </x:c>
      <x:c r="F44" t="inlineStr">
        <x:is>
          <x:t xml:space="preserve">NaCaPO4</x:t>
        </x:is>
      </x:c>
      <x:c r="G44" t="n">
        <x:v>3</x:v>
      </x:c>
      <x:c r="H44" t="b">
        <x:v>1</x:v>
      </x:c>
      <x:c r="I44" t="n">
        <x:v>1.133910918192217</x:v>
      </x:c>
      <x:c r="J44" t="n">
        <x:v>0.4500418593966227</x:v>
      </x:c>
      <x:c r="K44" s="12" t="n">
        <x:f>ABS(VLOOKUP(C44,Benchmark_Properties!$A$2:$B$16,2,FALSE)-VLOOKUP(F44,Benchmark_Properties!$A$2:$B$16,2,FALSE))</x:f>
        <x:v>92.09999999999997</x:v>
      </x:c>
    </x:row>
    <x:row r="45">
      <x:c r="A45" t="n">
        <x:v>44</x:v>
      </x:c>
      <x:c r="B45" t="n">
        <x:v>16</x:v>
      </x:c>
      <x:c r="C45" t="inlineStr">
        <x:is>
          <x:t xml:space="preserve">Sr2LiSiO4F</x:t>
        </x:is>
      </x:c>
      <x:c r="D45" t="n">
        <x:v>3</x:v>
      </x:c>
      <x:c r="E45" t="n">
        <x:v>199</x:v>
      </x:c>
      <x:c r="F45" t="inlineStr">
        <x:is>
          <x:t xml:space="preserve">Cs2BaP2O7</x:t>
        </x:is>
      </x:c>
      <x:c r="G45" t="n">
        <x:v>2</x:v>
      </x:c>
      <x:c r="H45" t="b">
        <x:v>0</x:v>
      </x:c>
      <x:c r="I45" t="n">
        <x:v>1.149666807751065</x:v>
      </x:c>
      <x:c r="J45" t="n">
        <x:v>0.4562952693600937</x:v>
      </x:c>
      <x:c r="K45" s="12" t="n">
        <x:f>ABS(VLOOKUP(C45,Benchmark_Properties!$A$2:$B$16,2,FALSE)-VLOOKUP(F45,Benchmark_Properties!$A$2:$B$16,2,FALSE))</x:f>
        <x:v>269.59999999999997</x:v>
      </x:c>
    </x:row>
    <x:row r="46">
      <x:c r="A46" t="n">
        <x:v>45</x:v>
      </x:c>
      <x:c r="B46" t="n">
        <x:v>261</x:v>
      </x:c>
      <x:c r="C46" t="inlineStr">
        <x:is>
          <x:t xml:space="preserve">NaCaPO4</x:t>
        </x:is>
      </x:c>
      <x:c r="D46" t="n">
        <x:v>3</x:v>
      </x:c>
      <x:c r="E46" t="n">
        <x:v>283</x:v>
      </x:c>
      <x:c r="F46" t="inlineStr">
        <x:is>
          <x:t xml:space="preserve">RbLi7(SiO4)2</x:t>
        </x:is>
      </x:c>
      <x:c r="G46" t="n">
        <x:v>3</x:v>
      </x:c>
      <x:c r="H46" t="b">
        <x:v>1</x:v>
      </x:c>
      <x:c r="I46" t="n">
        <x:v>1.185555213873107</x:v>
      </x:c>
      <x:c r="J46" t="n">
        <x:v>0.4705391440444427</x:v>
      </x:c>
      <x:c r="K46" s="12" t="n">
        <x:f>ABS(VLOOKUP(C46,Benchmark_Properties!$A$2:$B$16,2,FALSE)-VLOOKUP(F46,Benchmark_Properties!$A$2:$B$16,2,FALSE))</x:f>
        <x:v>58.599999999999966</x:v>
      </x:c>
    </x:row>
    <x:row r="47">
      <x:c r="A47" t="n">
        <x:v>46</x:v>
      </x:c>
      <x:c r="B47" t="n">
        <x:v>14</x:v>
      </x:c>
      <x:c r="C47" t="inlineStr">
        <x:is>
          <x:t xml:space="preserve">K2RbNaLi12(SiO4)4</x:t>
        </x:is>
      </x:c>
      <x:c r="D47" t="n">
        <x:v>3</x:v>
      </x:c>
      <x:c r="E47" t="n">
        <x:v>261</x:v>
      </x:c>
      <x:c r="F47" t="inlineStr">
        <x:is>
          <x:t xml:space="preserve">NaCaPO4</x:t>
        </x:is>
      </x:c>
      <x:c r="G47" t="n">
        <x:v>3</x:v>
      </x:c>
      <x:c r="H47" t="b">
        <x:v>1</x:v>
      </x:c>
      <x:c r="I47" t="n">
        <x:v>1.266168066991714</x:v>
      </x:c>
      <x:c r="J47" t="n">
        <x:v>0.5025338604958939</x:v>
      </x:c>
      <x:c r="K47" s="12" t="n">
        <x:f>ABS(VLOOKUP(C47,Benchmark_Properties!$A$2:$B$16,2,FALSE)-VLOOKUP(F47,Benchmark_Properties!$A$2:$B$16,2,FALSE))</x:f>
        <x:v>140.2</x:v>
      </x:c>
    </x:row>
    <x:row r="48">
      <x:c r="A48" t="n">
        <x:v>47</x:v>
      </x:c>
      <x:c r="B48" t="n">
        <x:v>15</x:v>
      </x:c>
      <x:c r="C48" t="inlineStr">
        <x:is>
          <x:t xml:space="preserve">Rb2ZrSi2O7</x:t>
        </x:is>
      </x:c>
      <x:c r="D48" t="n">
        <x:v>3</x:v>
      </x:c>
      <x:c r="E48" t="n">
        <x:v>17</x:v>
      </x:c>
      <x:c r="F48" t="inlineStr">
        <x:is>
          <x:t xml:space="preserve">SrAl2O4</x:t>
        </x:is>
      </x:c>
      <x:c r="G48" t="n">
        <x:v>0</x:v>
      </x:c>
      <x:c r="H48" t="b">
        <x:v>0</x:v>
      </x:c>
      <x:c r="I48" t="n">
        <x:v>1.283748193624889</x:v>
      </x:c>
      <x:c r="J48" t="n">
        <x:v>0.509511298274724</x:v>
      </x:c>
      <x:c r="K48" s="12" t="n">
        <x:f>ABS(VLOOKUP(C48,Benchmark_Properties!$A$2:$B$16,2,FALSE)-VLOOKUP(F48,Benchmark_Properties!$A$2:$B$16,2,FALSE))</x:f>
        <x:v>102.09999999999997</x:v>
      </x:c>
    </x:row>
    <x:row r="49">
      <x:c r="A49" t="n">
        <x:v>48</x:v>
      </x:c>
      <x:c r="B49" t="n">
        <x:v>15</x:v>
      </x:c>
      <x:c r="C49" t="inlineStr">
        <x:is>
          <x:t xml:space="preserve">Rb2ZrSi2O7</x:t>
        </x:is>
      </x:c>
      <x:c r="D49" t="n">
        <x:v>3</x:v>
      </x:c>
      <x:c r="E49" t="n">
        <x:v>180</x:v>
      </x:c>
      <x:c r="F49" t="inlineStr">
        <x:is>
          <x:t xml:space="preserve">Ba6Y2Al4O15</x:t>
        </x:is>
      </x:c>
      <x:c r="G49" t="n">
        <x:v>0</x:v>
      </x:c>
      <x:c r="H49" t="b">
        <x:v>0</x:v>
      </x:c>
      <x:c r="I49" t="n">
        <x:v>1.296517168370345</x:v>
      </x:c>
      <x:c r="J49" t="n">
        <x:v>0.5145792211995647</x:v>
      </x:c>
      <x:c r="K49" s="12" t="n">
        <x:f>ABS(VLOOKUP(C49,Benchmark_Properties!$A$2:$B$16,2,FALSE)-VLOOKUP(F49,Benchmark_Properties!$A$2:$B$16,2,FALSE))</x:f>
        <x:v>19.899999999999977</x:v>
      </x:c>
    </x:row>
    <x:row r="50">
      <x:c r="A50" t="n">
        <x:v>49</x:v>
      </x:c>
      <x:c r="B50" t="n">
        <x:v>142</x:v>
      </x:c>
      <x:c r="C50" t="inlineStr">
        <x:is>
          <x:t xml:space="preserve">Ba2Ca(BO3)2</x:t>
        </x:is>
      </x:c>
      <x:c r="D50" t="n">
        <x:v>0</x:v>
      </x:c>
      <x:c r="E50" t="n">
        <x:v>144</x:v>
      </x:c>
      <x:c r="F50" t="inlineStr">
        <x:is>
          <x:t xml:space="preserve">Ba2Mg(PO4)2</x:t>
        </x:is>
      </x:c>
      <x:c r="G50" t="n">
        <x:v>1</x:v>
      </x:c>
      <x:c r="H50" t="b">
        <x:v>0</x:v>
      </x:c>
      <x:c r="I50" t="n">
        <x:v>1.324459557669524</x:v>
      </x:c>
      <x:c r="J50" t="n">
        <x:v>0.5256693735514225</x:v>
      </x:c>
      <x:c r="K50" s="12" t="n">
        <x:f>ABS(VLOOKUP(C50,Benchmark_Properties!$A$2:$B$16,2,FALSE)-VLOOKUP(F50,Benchmark_Properties!$A$2:$B$16,2,FALSE))</x:f>
        <x:v>30</x:v>
      </x:c>
    </x:row>
    <x:row r="51">
      <x:c r="A51" t="n">
        <x:v>50</x:v>
      </x:c>
      <x:c r="B51" t="n">
        <x:v>15</x:v>
      </x:c>
      <x:c r="C51" t="inlineStr">
        <x:is>
          <x:t xml:space="preserve">Rb2ZrSi2O7</x:t>
        </x:is>
      </x:c>
      <x:c r="D51" t="n">
        <x:v>3</x:v>
      </x:c>
      <x:c r="E51" t="n">
        <x:v>111</x:v>
      </x:c>
      <x:c r="F51" t="inlineStr">
        <x:is>
          <x:t xml:space="preserve">Ba2MgSi2O7</x:t>
        </x:is>
      </x:c>
      <x:c r="G51" t="n">
        <x:v>0</x:v>
      </x:c>
      <x:c r="H51" t="b">
        <x:v>0</x:v>
      </x:c>
      <x:c r="I51" t="n">
        <x:v>1.346005550157588</x:v>
      </x:c>
      <x:c r="J51" t="n">
        <x:v>0.5342208376623189</x:v>
      </x:c>
      <x:c r="K51" s="12" t="n">
        <x:f>ABS(VLOOKUP(C51,Benchmark_Properties!$A$2:$B$16,2,FALSE)-VLOOKUP(F51,Benchmark_Properties!$A$2:$B$16,2,FALSE))</x:f>
        <x:v>28.69999999999999</x:v>
      </x:c>
    </x:row>
    <x:row r="52">
      <x:c r="A52" t="n">
        <x:v>51</x:v>
      </x:c>
      <x:c r="B52" t="n">
        <x:v>15</x:v>
      </x:c>
      <x:c r="C52" t="inlineStr">
        <x:is>
          <x:t xml:space="preserve">Rb2ZrSi2O7</x:t>
        </x:is>
      </x:c>
      <x:c r="D52" t="n">
        <x:v>3</x:v>
      </x:c>
      <x:c r="E52" t="n">
        <x:v>142</x:v>
      </x:c>
      <x:c r="F52" t="inlineStr">
        <x:is>
          <x:t xml:space="preserve">Ba2Ca(BO3)2</x:t>
        </x:is>
      </x:c>
      <x:c r="G52" t="n">
        <x:v>0</x:v>
      </x:c>
      <x:c r="H52" t="b">
        <x:v>0</x:v>
      </x:c>
      <x:c r="I52" t="n">
        <x:v>1.348595496437598</x:v>
      </x:c>
      <x:c r="J52" t="n">
        <x:v>0.5352487704751109</x:v>
      </x:c>
      <x:c r="K52" s="12" t="n">
        <x:f>ABS(VLOOKUP(C52,Benchmark_Properties!$A$2:$B$16,2,FALSE)-VLOOKUP(F52,Benchmark_Properties!$A$2:$B$16,2,FALSE))</x:f>
        <x:v>9</x:v>
      </x:c>
    </x:row>
    <x:row r="53">
      <x:c r="A53" t="n">
        <x:v>52</x:v>
      </x:c>
      <x:c r="B53" t="n">
        <x:v>171</x:v>
      </x:c>
      <x:c r="C53" t="inlineStr">
        <x:is>
          <x:t xml:space="preserve">BaLi2SiO4</x:t>
        </x:is>
      </x:c>
      <x:c r="D53" t="n">
        <x:v>3</x:v>
      </x:c>
      <x:c r="E53" t="n">
        <x:v>199</x:v>
      </x:c>
      <x:c r="F53" t="inlineStr">
        <x:is>
          <x:t xml:space="preserve">Cs2BaP2O7</x:t>
        </x:is>
      </x:c>
      <x:c r="G53" t="n">
        <x:v>2</x:v>
      </x:c>
      <x:c r="H53" t="b">
        <x:v>0</x:v>
      </x:c>
      <x:c r="I53" t="n">
        <x:v>1.350405285071359</x:v>
      </x:c>
      <x:c r="J53" t="n">
        <x:v>0.5359670637984977</x:v>
      </x:c>
      <x:c r="K53" s="12" t="n">
        <x:f>ABS(VLOOKUP(C53,Benchmark_Properties!$A$2:$B$16,2,FALSE)-VLOOKUP(F53,Benchmark_Properties!$A$2:$B$16,2,FALSE))</x:f>
        <x:v>224.7</x:v>
      </x:c>
    </x:row>
    <x:row r="54">
      <x:c r="A54" t="n">
        <x:v>53</x:v>
      </x:c>
      <x:c r="B54" t="n">
        <x:v>199</x:v>
      </x:c>
      <x:c r="C54" t="inlineStr">
        <x:is>
          <x:t xml:space="preserve">Cs2BaP2O7</x:t>
        </x:is>
      </x:c>
      <x:c r="D54" t="n">
        <x:v>2</x:v>
      </x:c>
      <x:c r="E54" t="n">
        <x:v>261</x:v>
      </x:c>
      <x:c r="F54" t="inlineStr">
        <x:is>
          <x:t xml:space="preserve">NaCaPO4</x:t>
        </x:is>
      </x:c>
      <x:c r="G54" t="n">
        <x:v>3</x:v>
      </x:c>
      <x:c r="H54" t="b">
        <x:v>0</x:v>
      </x:c>
      <x:c r="I54" t="n">
        <x:v>1.367028741272008</x:v>
      </x:c>
      <x:c r="J54" t="n">
        <x:v>0.5425648053125007</x:v>
      </x:c>
      <x:c r="K54" s="12" t="n">
        <x:f>ABS(VLOOKUP(C54,Benchmark_Properties!$A$2:$B$16,2,FALSE)-VLOOKUP(F54,Benchmark_Properties!$A$2:$B$16,2,FALSE))</x:f>
        <x:v>273.9</x:v>
      </x:c>
    </x:row>
    <x:row r="55">
      <x:c r="A55" t="n">
        <x:v>54</x:v>
      </x:c>
      <x:c r="B55" t="n">
        <x:v>17</x:v>
      </x:c>
      <x:c r="C55" t="inlineStr">
        <x:is>
          <x:t xml:space="preserve">SrAl2O4</x:t>
        </x:is>
      </x:c>
      <x:c r="D55" t="n">
        <x:v>0</x:v>
      </x:c>
      <x:c r="E55" t="n">
        <x:v>95</x:v>
      </x:c>
      <x:c r="F55" t="inlineStr">
        <x:is>
          <x:t xml:space="preserve">Na3YSi2O7</x:t>
        </x:is>
      </x:c>
      <x:c r="G55" t="n">
        <x:v>3</x:v>
      </x:c>
      <x:c r="H55" t="b">
        <x:v>0</x:v>
      </x:c>
      <x:c r="I55" t="n">
        <x:v>1.382518924235751</x:v>
      </x:c>
      <x:c r="J55" t="n">
        <x:v>0.5487127580586573</x:v>
      </x:c>
      <x:c r="K55" s="12" t="n">
        <x:f>ABS(VLOOKUP(C55,Benchmark_Properties!$A$2:$B$16,2,FALSE)-VLOOKUP(F55,Benchmark_Properties!$A$2:$B$16,2,FALSE))</x:f>
        <x:v>125.50000000000006</x:v>
      </x:c>
    </x:row>
    <x:row r="56">
      <x:c r="A56" t="n">
        <x:v>55</x:v>
      </x:c>
      <x:c r="B56" t="n">
        <x:v>16</x:v>
      </x:c>
      <x:c r="C56" t="inlineStr">
        <x:is>
          <x:t xml:space="preserve">Sr2LiSiO4F</x:t>
        </x:is>
      </x:c>
      <x:c r="D56" t="n">
        <x:v>3</x:v>
      </x:c>
      <x:c r="E56" t="n">
        <x:v>17</x:v>
      </x:c>
      <x:c r="F56" t="inlineStr">
        <x:is>
          <x:t xml:space="preserve">SrAl2O4</x:t>
        </x:is>
      </x:c>
      <x:c r="G56" t="n">
        <x:v>0</x:v>
      </x:c>
      <x:c r="H56" t="b">
        <x:v>0</x:v>
      </x:c>
      <x:c r="I56" t="n">
        <x:v>1.413367969167339</x:v>
      </x:c>
      <x:c r="J56" t="n">
        <x:v>0.5609565431028617</x:v>
      </x:c>
      <x:c r="K56" s="12" t="n">
        <x:f>ABS(VLOOKUP(C56,Benchmark_Properties!$A$2:$B$16,2,FALSE)-VLOOKUP(F56,Benchmark_Properties!$A$2:$B$16,2,FALSE))</x:f>
        <x:v>14.300000000000011</x:v>
      </x:c>
    </x:row>
    <x:row r="57">
      <x:c r="A57" t="n">
        <x:v>56</x:v>
      </x:c>
      <x:c r="B57" t="n">
        <x:v>157</x:v>
      </x:c>
      <x:c r="C57" t="inlineStr">
        <x:is>
          <x:t xml:space="preserve">BaNa(B3O5)3</x:t>
        </x:is>
      </x:c>
      <x:c r="D57" t="n">
        <x:v>0</x:v>
      </x:c>
      <x:c r="E57" t="n">
        <x:v>261</x:v>
      </x:c>
      <x:c r="F57" t="inlineStr">
        <x:is>
          <x:t xml:space="preserve">NaCaPO4</x:t>
        </x:is>
      </x:c>
      <x:c r="G57" t="n">
        <x:v>3</x:v>
      </x:c>
      <x:c r="H57" t="b">
        <x:v>0</x:v>
      </x:c>
      <x:c r="I57" t="n">
        <x:v>1.413836069216557</x:v>
      </x:c>
      <x:c r="J57" t="n">
        <x:v>0.5611423289641265</x:v>
      </x:c>
      <x:c r="K57" s="12" t="n">
        <x:f>ABS(VLOOKUP(C57,Benchmark_Properties!$A$2:$B$16,2,FALSE)-VLOOKUP(F57,Benchmark_Properties!$A$2:$B$16,2,FALSE))</x:f>
        <x:v>84.80000000000001</x:v>
      </x:c>
    </x:row>
    <x:row r="58">
      <x:c r="A58" t="n">
        <x:v>57</x:v>
      </x:c>
      <x:c r="B58" t="n">
        <x:v>144</x:v>
      </x:c>
      <x:c r="C58" t="inlineStr">
        <x:is>
          <x:t xml:space="preserve">Ba2Mg(PO4)2</x:t>
        </x:is>
      </x:c>
      <x:c r="D58" t="n">
        <x:v>1</x:v>
      </x:c>
      <x:c r="E58" t="n">
        <x:v>157</x:v>
      </x:c>
      <x:c r="F58" t="inlineStr">
        <x:is>
          <x:t xml:space="preserve">BaNa(B3O5)3</x:t>
        </x:is>
      </x:c>
      <x:c r="G58" t="n">
        <x:v>0</x:v>
      </x:c>
      <x:c r="H58" t="b">
        <x:v>0</x:v>
      </x:c>
      <x:c r="I58" t="n">
        <x:v>1.419361971058678</x:v>
      </x:c>
      <x:c r="J58" t="n">
        <x:v>0.5633355234205621</x:v>
      </x:c>
      <x:c r="K58" s="12" t="n">
        <x:f>ABS(VLOOKUP(C58,Benchmark_Properties!$A$2:$B$16,2,FALSE)-VLOOKUP(F58,Benchmark_Properties!$A$2:$B$16,2,FALSE))</x:f>
        <x:v>46.299999999999955</x:v>
      </x:c>
    </x:row>
    <x:row r="59">
      <x:c r="A59" t="n">
        <x:v>58</x:v>
      </x:c>
      <x:c r="B59" t="n">
        <x:v>15</x:v>
      </x:c>
      <x:c r="C59" t="inlineStr">
        <x:is>
          <x:t xml:space="preserve">Rb2ZrSi2O7</x:t>
        </x:is>
      </x:c>
      <x:c r="D59" t="n">
        <x:v>3</x:v>
      </x:c>
      <x:c r="E59" t="n">
        <x:v>153</x:v>
      </x:c>
      <x:c r="F59" t="inlineStr">
        <x:is>
          <x:t xml:space="preserve">Ba3Si6(NO6)2</x:t>
        </x:is>
      </x:c>
      <x:c r="G59" t="n">
        <x:v>0</x:v>
      </x:c>
      <x:c r="H59" t="b">
        <x:v>0</x:v>
      </x:c>
      <x:c r="I59" t="n">
        <x:v>1.466716582342643</x:v>
      </x:c>
      <x:c r="J59" t="n">
        <x:v>0.58213026026569</x:v>
      </x:c>
      <x:c r="K59" s="12" t="n">
        <x:f>ABS(VLOOKUP(C59,Benchmark_Properties!$A$2:$B$16,2,FALSE)-VLOOKUP(F59,Benchmark_Properties!$A$2:$B$16,2,FALSE))</x:f>
        <x:v>37.299999999999955</x:v>
      </x:c>
    </x:row>
    <x:row r="60">
      <x:c r="A60" t="n">
        <x:v>59</x:v>
      </x:c>
      <x:c r="B60" t="n">
        <x:v>16</x:v>
      </x:c>
      <x:c r="C60" t="inlineStr">
        <x:is>
          <x:t xml:space="preserve">Sr2LiSiO4F</x:t>
        </x:is>
      </x:c>
      <x:c r="D60" t="n">
        <x:v>3</x:v>
      </x:c>
      <x:c r="E60" t="n">
        <x:v>180</x:v>
      </x:c>
      <x:c r="F60" t="inlineStr">
        <x:is>
          <x:t xml:space="preserve">Ba6Y2Al4O15</x:t>
        </x:is>
      </x:c>
      <x:c r="G60" t="n">
        <x:v>0</x:v>
      </x:c>
      <x:c r="H60" t="b">
        <x:v>0</x:v>
      </x:c>
      <x:c r="I60" t="n">
        <x:v>1.509144541428321</x:v>
      </x:c>
      <x:c r="J60" t="n">
        <x:v>0.5989696409357027</x:v>
      </x:c>
      <x:c r="K60" s="12" t="n">
        <x:f>ABS(VLOOKUP(C60,Benchmark_Properties!$A$2:$B$16,2,FALSE)-VLOOKUP(F60,Benchmark_Properties!$A$2:$B$16,2,FALSE))</x:f>
        <x:v>67.89999999999998</x:v>
      </x:c>
    </x:row>
    <x:row r="61">
      <x:c r="A61" t="n">
        <x:v>60</x:v>
      </x:c>
      <x:c r="B61" t="n">
        <x:v>95</x:v>
      </x:c>
      <x:c r="C61" t="inlineStr">
        <x:is>
          <x:t xml:space="preserve">Na3YSi2O7</x:t>
        </x:is>
      </x:c>
      <x:c r="D61" t="n">
        <x:v>3</x:v>
      </x:c>
      <x:c r="E61" t="n">
        <x:v>199</x:v>
      </x:c>
      <x:c r="F61" t="inlineStr">
        <x:is>
          <x:t xml:space="preserve">Cs2BaP2O7</x:t>
        </x:is>
      </x:c>
      <x:c r="G61" t="n">
        <x:v>2</x:v>
      </x:c>
      <x:c r="H61" t="b">
        <x:v>0</x:v>
      </x:c>
      <x:c r="I61" t="n">
        <x:v>1.510480215102955</x:v>
      </x:c>
      <x:c r="J61" t="n">
        <x:v>0.5994997611192509</x:v>
      </x:c>
      <x:c r="K61" s="12" t="n">
        <x:f>ABS(VLOOKUP(C61,Benchmark_Properties!$A$2:$B$16,2,FALSE)-VLOOKUP(F61,Benchmark_Properties!$A$2:$B$16,2,FALSE))</x:f>
        <x:v>409.40000000000003</x:v>
      </x:c>
    </x:row>
    <x:row r="62">
      <x:c r="A62" t="n">
        <x:v>61</x:v>
      </x:c>
      <x:c r="B62" t="n">
        <x:v>16</x:v>
      </x:c>
      <x:c r="C62" t="inlineStr">
        <x:is>
          <x:t xml:space="preserve">Sr2LiSiO4F</x:t>
        </x:is>
      </x:c>
      <x:c r="D62" t="n">
        <x:v>3</x:v>
      </x:c>
      <x:c r="E62" t="n">
        <x:v>111</x:v>
      </x:c>
      <x:c r="F62" t="inlineStr">
        <x:is>
          <x:t xml:space="preserve">Ba2MgSi2O7</x:t>
        </x:is>
      </x:c>
      <x:c r="G62" t="n">
        <x:v>0</x:v>
      </x:c>
      <x:c r="H62" t="b">
        <x:v>0</x:v>
      </x:c>
      <x:c r="I62" t="n">
        <x:v>1.5190941921875</x:v>
      </x:c>
      <x:c r="J62" t="n">
        <x:v>0.6029185925298426</x:v>
      </x:c>
      <x:c r="K62" s="12" t="n">
        <x:f>ABS(VLOOKUP(C62,Benchmark_Properties!$A$2:$B$16,2,FALSE)-VLOOKUP(F62,Benchmark_Properties!$A$2:$B$16,2,FALSE))</x:f>
        <x:v>59.099999999999966</x:v>
      </x:c>
    </x:row>
    <x:row r="63">
      <x:c r="A63" t="n">
        <x:v>62</x:v>
      </x:c>
      <x:c r="B63" t="n">
        <x:v>157</x:v>
      </x:c>
      <x:c r="C63" t="inlineStr">
        <x:is>
          <x:t xml:space="preserve">BaNa(B3O5)3</x:t>
        </x:is>
      </x:c>
      <x:c r="D63" t="n">
        <x:v>0</x:v>
      </x:c>
      <x:c r="E63" t="n">
        <x:v>283</x:v>
      </x:c>
      <x:c r="F63" t="inlineStr">
        <x:is>
          <x:t xml:space="preserve">RbLi7(SiO4)2</x:t>
        </x:is>
      </x:c>
      <x:c r="G63" t="n">
        <x:v>3</x:v>
      </x:c>
      <x:c r="H63" t="b">
        <x:v>0</x:v>
      </x:c>
      <x:c r="I63" t="n">
        <x:v>1.526841895214802</x:v>
      </x:c>
      <x:c r="J63" t="n">
        <x:v>0.6059936054082962</x:v>
      </x:c>
      <x:c r="K63" s="12" t="n">
        <x:f>ABS(VLOOKUP(C63,Benchmark_Properties!$A$2:$B$16,2,FALSE)-VLOOKUP(F63,Benchmark_Properties!$A$2:$B$16,2,FALSE))</x:f>
        <x:v>143.39999999999998</x:v>
      </x:c>
    </x:row>
    <x:row r="64">
      <x:c r="A64" t="n">
        <x:v>63</x:v>
      </x:c>
      <x:c r="B64" t="n">
        <x:v>16</x:v>
      </x:c>
      <x:c r="C64" t="inlineStr">
        <x:is>
          <x:t xml:space="preserve">Sr2LiSiO4F</x:t>
        </x:is>
      </x:c>
      <x:c r="D64" t="n">
        <x:v>3</x:v>
      </x:c>
      <x:c r="E64" t="n">
        <x:v>142</x:v>
      </x:c>
      <x:c r="F64" t="inlineStr">
        <x:is>
          <x:t xml:space="preserve">Ba2Ca(BO3)2</x:t>
        </x:is>
      </x:c>
      <x:c r="G64" t="n">
        <x:v>0</x:v>
      </x:c>
      <x:c r="H64" t="b">
        <x:v>0</x:v>
      </x:c>
      <x:c r="I64" t="n">
        <x:v>1.563534302333936</x:v>
      </x:c>
      <x:c r="J64" t="n">
        <x:v>0.6205565828527321</x:v>
      </x:c>
      <x:c r="K64" s="12" t="n">
        <x:f>ABS(VLOOKUP(C64,Benchmark_Properties!$A$2:$B$16,2,FALSE)-VLOOKUP(F64,Benchmark_Properties!$A$2:$B$16,2,FALSE))</x:f>
        <x:v>96.79999999999995</x:v>
      </x:c>
    </x:row>
    <x:row r="65">
      <x:c r="A65" t="n">
        <x:v>64</x:v>
      </x:c>
      <x:c r="B65" t="n">
        <x:v>17</x:v>
      </x:c>
      <x:c r="C65" t="inlineStr">
        <x:is>
          <x:t xml:space="preserve">SrAl2O4</x:t>
        </x:is>
      </x:c>
      <x:c r="D65" t="n">
        <x:v>0</x:v>
      </x:c>
      <x:c r="E65" t="n">
        <x:v>171</x:v>
      </x:c>
      <x:c r="F65" t="inlineStr">
        <x:is>
          <x:t xml:space="preserve">BaLi2SiO4</x:t>
        </x:is>
      </x:c>
      <x:c r="G65" t="n">
        <x:v>3</x:v>
      </x:c>
      <x:c r="H65" t="b">
        <x:v>0</x:v>
      </x:c>
      <x:c r="I65" t="n">
        <x:v>1.569274365001295</x:v>
      </x:c>
      <x:c r="J65" t="n">
        <x:v>0.6228347763460885</x:v>
      </x:c>
      <x:c r="K65" s="12" t="n">
        <x:f>ABS(VLOOKUP(C65,Benchmark_Properties!$A$2:$B$16,2,FALSE)-VLOOKUP(F65,Benchmark_Properties!$A$2:$B$16,2,FALSE))</x:f>
        <x:v>59.19999999999999</x:v>
      </x:c>
    </x:row>
    <x:row r="66">
      <x:c r="A66" t="n">
        <x:v>65</x:v>
      </x:c>
      <x:c r="B66" t="n">
        <x:v>14</x:v>
      </x:c>
      <x:c r="C66" t="inlineStr">
        <x:is>
          <x:t xml:space="preserve">K2RbNaLi12(SiO4)4</x:t>
        </x:is>
      </x:c>
      <x:c r="D66" t="n">
        <x:v>3</x:v>
      </x:c>
      <x:c r="E66" t="n">
        <x:v>157</x:v>
      </x:c>
      <x:c r="F66" t="inlineStr">
        <x:is>
          <x:t xml:space="preserve">BaNa(B3O5)3</x:t>
        </x:is>
      </x:c>
      <x:c r="G66" t="n">
        <x:v>0</x:v>
      </x:c>
      <x:c r="H66" t="b">
        <x:v>0</x:v>
      </x:c>
      <x:c r="I66" t="n">
        <x:v>1.594730590625314</x:v>
      </x:c>
      <x:c r="J66" t="n">
        <x:v>0.6329381865251864</x:v>
      </x:c>
      <x:c r="K66" s="12" t="n">
        <x:f>ABS(VLOOKUP(C66,Benchmark_Properties!$A$2:$B$16,2,FALSE)-VLOOKUP(F66,Benchmark_Properties!$A$2:$B$16,2,FALSE))</x:f>
        <x:v>225</x:v>
      </x:c>
    </x:row>
    <x:row r="67">
      <x:c r="A67" t="n">
        <x:v>66</x:v>
      </x:c>
      <x:c r="B67" t="n">
        <x:v>144</x:v>
      </x:c>
      <x:c r="C67" t="inlineStr">
        <x:is>
          <x:t xml:space="preserve">Ba2Mg(PO4)2</x:t>
        </x:is>
      </x:c>
      <x:c r="D67" t="n">
        <x:v>1</x:v>
      </x:c>
      <x:c r="E67" t="n">
        <x:v>199</x:v>
      </x:c>
      <x:c r="F67" t="inlineStr">
        <x:is>
          <x:t xml:space="preserve">Cs2BaP2O7</x:t>
        </x:is>
      </x:c>
      <x:c r="G67" t="n">
        <x:v>2</x:v>
      </x:c>
      <x:c r="H67" t="b">
        <x:v>0</x:v>
      </x:c>
      <x:c r="I67" t="n">
        <x:v>1.597194072454664</x:v>
      </x:c>
      <x:c r="J67" t="n">
        <x:v>0.6339159264210489</x:v>
      </x:c>
      <x:c r="K67" s="12" t="n">
        <x:f>ABS(VLOOKUP(C67,Benchmark_Properties!$A$2:$B$16,2,FALSE)-VLOOKUP(F67,Benchmark_Properties!$A$2:$B$16,2,FALSE))</x:f>
        <x:v>142.8</x:v>
      </x:c>
    </x:row>
    <x:row r="68">
      <x:c r="A68" t="n">
        <x:v>67</x:v>
      </x:c>
      <x:c r="B68" t="n">
        <x:v>17</x:v>
      </x:c>
      <x:c r="C68" t="inlineStr">
        <x:is>
          <x:t xml:space="preserve">SrAl2O4</x:t>
        </x:is>
      </x:c>
      <x:c r="D68" t="n">
        <x:v>0</x:v>
      </x:c>
      <x:c r="E68" t="n">
        <x:v>261</x:v>
      </x:c>
      <x:c r="F68" t="inlineStr">
        <x:is>
          <x:t xml:space="preserve">NaCaPO4</x:t>
        </x:is>
      </x:c>
      <x:c r="G68" t="n">
        <x:v>3</x:v>
      </x:c>
      <x:c r="H68" t="b">
        <x:v>0</x:v>
      </x:c>
      <x:c r="I68" t="n">
        <x:v>1.597758700391767</x:v>
      </x:c>
      <x:c r="J68" t="n">
        <x:v>0.6341400235724248</x:v>
      </x:c>
      <x:c r="K68" s="12" t="n">
        <x:f>ABS(VLOOKUP(C68,Benchmark_Properties!$A$2:$B$16,2,FALSE)-VLOOKUP(F68,Benchmark_Properties!$A$2:$B$16,2,FALSE))</x:f>
        <x:v>10</x:v>
      </x:c>
    </x:row>
    <x:row r="69">
      <x:c r="A69" t="n">
        <x:v>68</x:v>
      </x:c>
      <x:c r="B69" t="n">
        <x:v>16</x:v>
      </x:c>
      <x:c r="C69" t="inlineStr">
        <x:is>
          <x:t xml:space="preserve">Sr2LiSiO4F</x:t>
        </x:is>
      </x:c>
      <x:c r="D69" t="n">
        <x:v>3</x:v>
      </x:c>
      <x:c r="E69" t="n">
        <x:v>153</x:v>
      </x:c>
      <x:c r="F69" t="inlineStr">
        <x:is>
          <x:t xml:space="preserve">Ba3Si6(NO6)2</x:t>
        </x:is>
      </x:c>
      <x:c r="G69" t="n">
        <x:v>0</x:v>
      </x:c>
      <x:c r="H69" t="b">
        <x:v>0</x:v>
      </x:c>
      <x:c r="I69" t="n">
        <x:v>1.61912603344422</x:v>
      </x:c>
      <x:c r="J69" t="n">
        <x:v>0.6426205789167579</x:v>
      </x:c>
      <x:c r="K69" s="12" t="n">
        <x:f>ABS(VLOOKUP(C69,Benchmark_Properties!$A$2:$B$16,2,FALSE)-VLOOKUP(F69,Benchmark_Properties!$A$2:$B$16,2,FALSE))</x:f>
        <x:v>50.5</x:v>
      </x:c>
    </x:row>
    <x:row r="70">
      <x:c r="A70" t="n">
        <x:v>69</x:v>
      </x:c>
      <x:c r="B70" t="n">
        <x:v>95</x:v>
      </x:c>
      <x:c r="C70" t="inlineStr">
        <x:is>
          <x:t xml:space="preserve">Na3YSi2O7</x:t>
        </x:is>
      </x:c>
      <x:c r="D70" t="n">
        <x:v>3</x:v>
      </x:c>
      <x:c r="E70" t="n">
        <x:v>111</x:v>
      </x:c>
      <x:c r="F70" t="inlineStr">
        <x:is>
          <x:t xml:space="preserve">Ba2MgSi2O7</x:t>
        </x:is>
      </x:c>
      <x:c r="G70" t="n">
        <x:v>0</x:v>
      </x:c>
      <x:c r="H70" t="b">
        <x:v>0</x:v>
      </x:c>
      <x:c r="I70" t="n">
        <x:v>1.625078981146681</x:v>
      </x:c>
      <x:c r="J70" t="n">
        <x:v>0.644983265094238</x:v>
      </x:c>
      <x:c r="K70" s="12" t="n">
        <x:f>ABS(VLOOKUP(C70,Benchmark_Properties!$A$2:$B$16,2,FALSE)-VLOOKUP(F70,Benchmark_Properties!$A$2:$B$16,2,FALSE))</x:f>
        <x:v>198.90000000000003</x:v>
      </x:c>
    </x:row>
    <x:row r="71">
      <x:c r="A71" t="n">
        <x:v>70</x:v>
      </x:c>
      <x:c r="B71" t="n">
        <x:v>15</x:v>
      </x:c>
      <x:c r="C71" t="inlineStr">
        <x:is>
          <x:t xml:space="preserve">Rb2ZrSi2O7</x:t>
        </x:is>
      </x:c>
      <x:c r="D71" t="n">
        <x:v>3</x:v>
      </x:c>
      <x:c r="E71" t="n">
        <x:v>144</x:v>
      </x:c>
      <x:c r="F71" t="inlineStr">
        <x:is>
          <x:t xml:space="preserve">Ba2Mg(PO4)2</x:t>
        </x:is>
      </x:c>
      <x:c r="G71" t="n">
        <x:v>1</x:v>
      </x:c>
      <x:c r="H71" t="b">
        <x:v>0</x:v>
      </x:c>
      <x:c r="I71" t="n">
        <x:v>1.648366790835512</x:v>
      </x:c>
      <x:c r="J71" t="n">
        <x:v>0.6542260451093959</x:v>
      </x:c>
      <x:c r="K71" s="12" t="n">
        <x:f>ABS(VLOOKUP(C71,Benchmark_Properties!$A$2:$B$16,2,FALSE)-VLOOKUP(F71,Benchmark_Properties!$A$2:$B$16,2,FALSE))</x:f>
        <x:v>39</x:v>
      </x:c>
    </x:row>
    <x:row r="72">
      <x:c r="A72" t="n">
        <x:v>71</x:v>
      </x:c>
      <x:c r="B72" t="n">
        <x:v>199</x:v>
      </x:c>
      <x:c r="C72" t="inlineStr">
        <x:is>
          <x:t xml:space="preserve">Cs2BaP2O7</x:t>
        </x:is>
      </x:c>
      <x:c r="D72" t="n">
        <x:v>2</x:v>
      </x:c>
      <x:c r="E72" t="n">
        <x:v>283</x:v>
      </x:c>
      <x:c r="F72" t="inlineStr">
        <x:is>
          <x:t xml:space="preserve">RbLi7(SiO4)2</x:t>
        </x:is>
      </x:c>
      <x:c r="G72" t="n">
        <x:v>3</x:v>
      </x:c>
      <x:c r="H72" t="b">
        <x:v>0</x:v>
      </x:c>
      <x:c r="I72" t="n">
        <x:v>1.652625532968209</x:v>
      </x:c>
      <x:c r="J72" t="n">
        <x:v>0.655916312128912</x:v>
      </x:c>
      <x:c r="K72" s="12" t="n">
        <x:f>ABS(VLOOKUP(C72,Benchmark_Properties!$A$2:$B$16,2,FALSE)-VLOOKUP(F72,Benchmark_Properties!$A$2:$B$16,2,FALSE))</x:f>
        <x:v>332.49999999999994</x:v>
      </x:c>
    </x:row>
    <x:row r="73">
      <x:c r="A73" t="n">
        <x:v>72</x:v>
      </x:c>
      <x:c r="B73" t="n">
        <x:v>95</x:v>
      </x:c>
      <x:c r="C73" t="inlineStr">
        <x:is>
          <x:t xml:space="preserve">Na3YSi2O7</x:t>
        </x:is>
      </x:c>
      <x:c r="D73" t="n">
        <x:v>3</x:v>
      </x:c>
      <x:c r="E73" t="n">
        <x:v>153</x:v>
      </x:c>
      <x:c r="F73" t="inlineStr">
        <x:is>
          <x:t xml:space="preserve">Ba3Si6(NO6)2</x:t>
        </x:is>
      </x:c>
      <x:c r="G73" t="n">
        <x:v>0</x:v>
      </x:c>
      <x:c r="H73" t="b">
        <x:v>0</x:v>
      </x:c>
      <x:c r="I73" t="n">
        <x:v>1.653975247735452</x:v>
      </x:c>
      <x:c r="J73" t="n">
        <x:v>0.6564520051306811</x:v>
      </x:c>
      <x:c r="K73" s="12" t="n">
        <x:f>ABS(VLOOKUP(C73,Benchmark_Properties!$A$2:$B$16,2,FALSE)-VLOOKUP(F73,Benchmark_Properties!$A$2:$B$16,2,FALSE))</x:f>
        <x:v>190.30000000000007</x:v>
      </x:c>
    </x:row>
    <x:row r="74">
      <x:c r="A74" t="n">
        <x:v>73</x:v>
      </x:c>
      <x:c r="B74" t="n">
        <x:v>111</x:v>
      </x:c>
      <x:c r="C74" t="inlineStr">
        <x:is>
          <x:t xml:space="preserve">Ba2MgSi2O7</x:t>
        </x:is>
      </x:c>
      <x:c r="D74" t="n">
        <x:v>0</x:v>
      </x:c>
      <x:c r="E74" t="n">
        <x:v>199</x:v>
      </x:c>
      <x:c r="F74" t="inlineStr">
        <x:is>
          <x:t xml:space="preserve">Cs2BaP2O7</x:t>
        </x:is>
      </x:c>
      <x:c r="G74" t="n">
        <x:v>2</x:v>
      </x:c>
      <x:c r="H74" t="b">
        <x:v>0</x:v>
      </x:c>
      <x:c r="I74" t="n">
        <x:v>1.662848591360429</x:v>
      </x:c>
      <x:c r="J74" t="n">
        <x:v>0.6599737774321741</x:v>
      </x:c>
      <x:c r="K74" s="12" t="n">
        <x:f>ABS(VLOOKUP(C74,Benchmark_Properties!$A$2:$B$16,2,FALSE)-VLOOKUP(F74,Benchmark_Properties!$A$2:$B$16,2,FALSE))</x:f>
        <x:v>210.5</x:v>
      </x:c>
    </x:row>
    <x:row r="75">
      <x:c r="A75" t="n">
        <x:v>74</x:v>
      </x:c>
      <x:c r="B75" t="n">
        <x:v>144</x:v>
      </x:c>
      <x:c r="C75" t="inlineStr">
        <x:is>
          <x:t xml:space="preserve">Ba2Mg(PO4)2</x:t>
        </x:is>
      </x:c>
      <x:c r="D75" t="n">
        <x:v>1</x:v>
      </x:c>
      <x:c r="E75" t="n">
        <x:v>261</x:v>
      </x:c>
      <x:c r="F75" t="inlineStr">
        <x:is>
          <x:t xml:space="preserve">NaCaPO4</x:t>
        </x:is>
      </x:c>
      <x:c r="G75" t="n">
        <x:v>3</x:v>
      </x:c>
      <x:c r="H75" t="b">
        <x:v>0</x:v>
      </x:c>
      <x:c r="I75" t="n">
        <x:v>1.680256654031781</x:v>
      </x:c>
      <x:c r="J75" t="n">
        <x:v>0.6668829241450379</x:v>
      </x:c>
      <x:c r="K75" s="12" t="n">
        <x:f>ABS(VLOOKUP(C75,Benchmark_Properties!$A$2:$B$16,2,FALSE)-VLOOKUP(F75,Benchmark_Properties!$A$2:$B$16,2,FALSE))</x:f>
        <x:v>131.09999999999997</x:v>
      </x:c>
    </x:row>
    <x:row r="76">
      <x:c r="A76" t="n">
        <x:v>75</x:v>
      </x:c>
      <x:c r="B76" t="n">
        <x:v>95</x:v>
      </x:c>
      <x:c r="C76" t="inlineStr">
        <x:is>
          <x:t xml:space="preserve">Na3YSi2O7</x:t>
        </x:is>
      </x:c>
      <x:c r="D76" t="n">
        <x:v>3</x:v>
      </x:c>
      <x:c r="E76" t="n">
        <x:v>180</x:v>
      </x:c>
      <x:c r="F76" t="inlineStr">
        <x:is>
          <x:t xml:space="preserve">Ba6Y2Al4O15</x:t>
        </x:is>
      </x:c>
      <x:c r="G76" t="n">
        <x:v>0</x:v>
      </x:c>
      <x:c r="H76" t="b">
        <x:v>0</x:v>
      </x:c>
      <x:c r="I76" t="n">
        <x:v>1.698747616089456</x:v>
      </x:c>
      <x:c r="J76" t="n">
        <x:v>0.6742218665724869</x:v>
      </x:c>
      <x:c r="K76" s="12" t="n">
        <x:f>ABS(VLOOKUP(C76,Benchmark_Properties!$A$2:$B$16,2,FALSE)-VLOOKUP(F76,Benchmark_Properties!$A$2:$B$16,2,FALSE))</x:f>
        <x:v>207.70000000000005</x:v>
      </x:c>
    </x:row>
    <x:row r="77">
      <x:c r="A77" t="n">
        <x:v>76</x:v>
      </x:c>
      <x:c r="B77" t="n">
        <x:v>14</x:v>
      </x:c>
      <x:c r="C77" t="inlineStr">
        <x:is>
          <x:t xml:space="preserve">K2RbNaLi12(SiO4)4</x:t>
        </x:is>
      </x:c>
      <x:c r="D77" t="n">
        <x:v>3</x:v>
      </x:c>
      <x:c r="E77" t="n">
        <x:v>199</x:v>
      </x:c>
      <x:c r="F77" t="inlineStr">
        <x:is>
          <x:t xml:space="preserve">Cs2BaP2O7</x:t>
        </x:is>
      </x:c>
      <x:c r="G77" t="n">
        <x:v>2</x:v>
      </x:c>
      <x:c r="H77" t="b">
        <x:v>0</x:v>
      </x:c>
      <x:c r="I77" t="n">
        <x:v>1.699575745237924</x:v>
      </x:c>
      <x:c r="J77" t="n">
        <x:v>0.6745505456387325</x:v>
      </x:c>
      <x:c r="K77" s="12" t="n">
        <x:f>ABS(VLOOKUP(C77,Benchmark_Properties!$A$2:$B$16,2,FALSE)-VLOOKUP(F77,Benchmark_Properties!$A$2:$B$16,2,FALSE))</x:f>
        <x:v>414.09999999999997</x:v>
      </x:c>
    </x:row>
    <x:row r="78">
      <x:c r="A78" t="n">
        <x:v>77</x:v>
      </x:c>
      <x:c r="B78" t="n">
        <x:v>171</x:v>
      </x:c>
      <x:c r="C78" t="inlineStr">
        <x:is>
          <x:t xml:space="preserve">BaLi2SiO4</x:t>
        </x:is>
      </x:c>
      <x:c r="D78" t="n">
        <x:v>3</x:v>
      </x:c>
      <x:c r="E78" t="n">
        <x:v>180</x:v>
      </x:c>
      <x:c r="F78" t="inlineStr">
        <x:is>
          <x:t xml:space="preserve">Ba6Y2Al4O15</x:t>
        </x:is>
      </x:c>
      <x:c r="G78" t="n">
        <x:v>0</x:v>
      </x:c>
      <x:c r="H78" t="b">
        <x:v>0</x:v>
      </x:c>
      <x:c r="I78" t="n">
        <x:v>1.702496479278202</x:v>
      </x:c>
      <x:c r="J78" t="n">
        <x:v>0.6757097659594834</x:v>
      </x:c>
      <x:c r="K78" s="12" t="n">
        <x:f>ABS(VLOOKUP(C78,Benchmark_Properties!$A$2:$B$16,2,FALSE)-VLOOKUP(F78,Benchmark_Properties!$A$2:$B$16,2,FALSE))</x:f>
        <x:v>23</x:v>
      </x:c>
    </x:row>
    <x:row r="79">
      <x:c r="A79" t="n">
        <x:v>78</x:v>
      </x:c>
      <x:c r="B79" t="n">
        <x:v>111</x:v>
      </x:c>
      <x:c r="C79" t="inlineStr">
        <x:is>
          <x:t xml:space="preserve">Ba2MgSi2O7</x:t>
        </x:is>
      </x:c>
      <x:c r="D79" t="n">
        <x:v>0</x:v>
      </x:c>
      <x:c r="E79" t="n">
        <x:v>171</x:v>
      </x:c>
      <x:c r="F79" t="inlineStr">
        <x:is>
          <x:t xml:space="preserve">BaLi2SiO4</x:t>
        </x:is>
      </x:c>
      <x:c r="G79" t="n">
        <x:v>3</x:v>
      </x:c>
      <x:c r="H79" t="b">
        <x:v>0</x:v>
      </x:c>
      <x:c r="I79" t="n">
        <x:v>1.72785403145714</x:v>
      </x:c>
      <x:c r="J79" t="n">
        <x:v>0.6857740132907905</x:v>
      </x:c>
      <x:c r="K79" s="12" t="n">
        <x:f>ABS(VLOOKUP(C79,Benchmark_Properties!$A$2:$B$16,2,FALSE)-VLOOKUP(F79,Benchmark_Properties!$A$2:$B$16,2,FALSE))</x:f>
        <x:v>14.199999999999989</x:v>
      </x:c>
    </x:row>
    <x:row r="80">
      <x:c r="A80" t="n">
        <x:v>79</x:v>
      </x:c>
      <x:c r="B80" t="n">
        <x:v>142</x:v>
      </x:c>
      <x:c r="C80" t="inlineStr">
        <x:is>
          <x:t xml:space="preserve">Ba2Ca(BO3)2</x:t>
        </x:is>
      </x:c>
      <x:c r="D80" t="n">
        <x:v>0</x:v>
      </x:c>
      <x:c r="E80" t="n">
        <x:v>171</x:v>
      </x:c>
      <x:c r="F80" t="inlineStr">
        <x:is>
          <x:t xml:space="preserve">BaLi2SiO4</x:t>
        </x:is>
      </x:c>
      <x:c r="G80" t="n">
        <x:v>3</x:v>
      </x:c>
      <x:c r="H80" t="b">
        <x:v>0</x:v>
      </x:c>
      <x:c r="I80" t="n">
        <x:v>1.738517557051615</x:v>
      </x:c>
      <x:c r="J80" t="n">
        <x:v>0.690006297158303</x:v>
      </x:c>
      <x:c r="K80" s="12" t="n">
        <x:f>ABS(VLOOKUP(C80,Benchmark_Properties!$A$2:$B$16,2,FALSE)-VLOOKUP(F80,Benchmark_Properties!$A$2:$B$16,2,FALSE))</x:f>
        <x:v>51.89999999999998</x:v>
      </x:c>
    </x:row>
    <x:row r="81">
      <x:c r="A81" t="n">
        <x:v>80</x:v>
      </x:c>
      <x:c r="B81" t="n">
        <x:v>111</x:v>
      </x:c>
      <x:c r="C81" t="inlineStr">
        <x:is>
          <x:t xml:space="preserve">Ba2MgSi2O7</x:t>
        </x:is>
      </x:c>
      <x:c r="D81" t="n">
        <x:v>0</x:v>
      </x:c>
      <x:c r="E81" t="n">
        <x:v>261</x:v>
      </x:c>
      <x:c r="F81" t="inlineStr">
        <x:is>
          <x:t xml:space="preserve">NaCaPO4</x:t>
        </x:is>
      </x:c>
      <x:c r="G81" t="n">
        <x:v>3</x:v>
      </x:c>
      <x:c r="H81" t="b">
        <x:v>0</x:v>
      </x:c>
      <x:c r="I81" t="n">
        <x:v>1.744816985719032</x:v>
      </x:c>
      <x:c r="J81" t="n">
        <x:v>0.692506499374488</x:v>
      </x:c>
      <x:c r="K81" s="12" t="n">
        <x:f>ABS(VLOOKUP(C81,Benchmark_Properties!$A$2:$B$16,2,FALSE)-VLOOKUP(F81,Benchmark_Properties!$A$2:$B$16,2,FALSE))</x:f>
        <x:v>63.39999999999998</x:v>
      </x:c>
    </x:row>
    <x:row r="82">
      <x:c r="A82" t="n">
        <x:v>81</x:v>
      </x:c>
      <x:c r="B82" t="n">
        <x:v>95</x:v>
      </x:c>
      <x:c r="C82" t="inlineStr">
        <x:is>
          <x:t xml:space="preserve">Na3YSi2O7</x:t>
        </x:is>
      </x:c>
      <x:c r="D82" t="n">
        <x:v>3</x:v>
      </x:c>
      <x:c r="E82" t="n">
        <x:v>142</x:v>
      </x:c>
      <x:c r="F82" t="inlineStr">
        <x:is>
          <x:t xml:space="preserve">Ba2Ca(BO3)2</x:t>
        </x:is>
      </x:c>
      <x:c r="G82" t="n">
        <x:v>0</x:v>
      </x:c>
      <x:c r="H82" t="b">
        <x:v>0</x:v>
      </x:c>
      <x:c r="I82" t="n">
        <x:v>1.755556526427603</x:v>
      </x:c>
      <x:c r="J82" t="n">
        <x:v>0.6967689531457745</x:v>
      </x:c>
      <x:c r="K82" s="12" t="n">
        <x:f>ABS(VLOOKUP(C82,Benchmark_Properties!$A$2:$B$16,2,FALSE)-VLOOKUP(F82,Benchmark_Properties!$A$2:$B$16,2,FALSE))</x:f>
        <x:v>236.60000000000002</x:v>
      </x:c>
    </x:row>
    <x:row r="83">
      <x:c r="A83" t="n">
        <x:v>82</x:v>
      </x:c>
      <x:c r="B83" t="n">
        <x:v>153</x:v>
      </x:c>
      <x:c r="C83" t="inlineStr">
        <x:is>
          <x:t xml:space="preserve">Ba3Si6(NO6)2</x:t>
        </x:is>
      </x:c>
      <x:c r="D83" t="n">
        <x:v>0</x:v>
      </x:c>
      <x:c r="E83" t="n">
        <x:v>261</x:v>
      </x:c>
      <x:c r="F83" t="inlineStr">
        <x:is>
          <x:t xml:space="preserve">NaCaPO4</x:t>
        </x:is>
      </x:c>
      <x:c r="G83" t="n">
        <x:v>3</x:v>
      </x:c>
      <x:c r="H83" t="b">
        <x:v>0</x:v>
      </x:c>
      <x:c r="I83" t="n">
        <x:v>1.758379065263055</x:v>
      </x:c>
      <x:c r="J83" t="n">
        <x:v>0.6978892004291775</x:v>
      </x:c>
      <x:c r="K83" s="12" t="n">
        <x:f>ABS(VLOOKUP(C83,Benchmark_Properties!$A$2:$B$16,2,FALSE)-VLOOKUP(F83,Benchmark_Properties!$A$2:$B$16,2,FALSE))</x:f>
        <x:v>54.80000000000001</x:v>
      </x:c>
    </x:row>
    <x:row r="84">
      <x:c r="A84" t="n">
        <x:v>83</x:v>
      </x:c>
      <x:c r="B84" t="n">
        <x:v>16</x:v>
      </x:c>
      <x:c r="C84" t="inlineStr">
        <x:is>
          <x:t xml:space="preserve">Sr2LiSiO4F</x:t>
        </x:is>
      </x:c>
      <x:c r="D84" t="n">
        <x:v>3</x:v>
      </x:c>
      <x:c r="E84" t="n">
        <x:v>144</x:v>
      </x:c>
      <x:c r="F84" t="inlineStr">
        <x:is>
          <x:t xml:space="preserve">Ba2Mg(PO4)2</x:t>
        </x:is>
      </x:c>
      <x:c r="G84" t="n">
        <x:v>1</x:v>
      </x:c>
      <x:c r="H84" t="b">
        <x:v>0</x:v>
      </x:c>
      <x:c r="I84" t="n">
        <x:v>1.769166744802959</x:v>
      </x:c>
      <x:c r="J84" t="n">
        <x:v>0.7021707601891396</x:v>
      </x:c>
      <x:c r="K84" s="12" t="n">
        <x:f>ABS(VLOOKUP(C84,Benchmark_Properties!$A$2:$B$16,2,FALSE)-VLOOKUP(F84,Benchmark_Properties!$A$2:$B$16,2,FALSE))</x:f>
        <x:v>126.79999999999995</x:v>
      </x:c>
    </x:row>
    <x:row r="85">
      <x:c r="A85" t="n">
        <x:v>84</x:v>
      </x:c>
      <x:c r="B85" t="n">
        <x:v>180</x:v>
      </x:c>
      <x:c r="C85" t="inlineStr">
        <x:is>
          <x:t xml:space="preserve">Ba6Y2Al4O15</x:t>
        </x:is>
      </x:c>
      <x:c r="D85" t="n">
        <x:v>0</x:v>
      </x:c>
      <x:c r="E85" t="n">
        <x:v>199</x:v>
      </x:c>
      <x:c r="F85" t="inlineStr">
        <x:is>
          <x:t xml:space="preserve">Cs2BaP2O7</x:t>
        </x:is>
      </x:c>
      <x:c r="G85" t="n">
        <x:v>2</x:v>
      </x:c>
      <x:c r="H85" t="b">
        <x:v>0</x:v>
      </x:c>
      <x:c r="I85" t="n">
        <x:v>1.798046679744251</x:v>
      </x:c>
      <x:c r="J85" t="n">
        <x:v>0.7136330183010499</x:v>
      </x:c>
      <x:c r="K85" s="12" t="n">
        <x:f>ABS(VLOOKUP(C85,Benchmark_Properties!$A$2:$B$16,2,FALSE)-VLOOKUP(F85,Benchmark_Properties!$A$2:$B$16,2,FALSE))</x:f>
        <x:v>201.7</x:v>
      </x:c>
    </x:row>
    <x:row r="86">
      <x:c r="A86" t="n">
        <x:v>85</x:v>
      </x:c>
      <x:c r="B86" t="n">
        <x:v>157</x:v>
      </x:c>
      <x:c r="C86" t="inlineStr">
        <x:is>
          <x:t xml:space="preserve">BaNa(B3O5)3</x:t>
        </x:is>
      </x:c>
      <x:c r="D86" t="n">
        <x:v>0</x:v>
      </x:c>
      <x:c r="E86" t="n">
        <x:v>199</x:v>
      </x:c>
      <x:c r="F86" t="inlineStr">
        <x:is>
          <x:t xml:space="preserve">Cs2BaP2O7</x:t>
        </x:is>
      </x:c>
      <x:c r="G86" t="n">
        <x:v>2</x:v>
      </x:c>
      <x:c r="H86" t="b">
        <x:v>0</x:v>
      </x:c>
      <x:c r="I86" t="n">
        <x:v>1.810182926434687</x:v>
      </x:c>
      <x:c r="J86" t="n">
        <x:v>0.7184498155811817</x:v>
      </x:c>
      <x:c r="K86" s="12" t="n">
        <x:f>ABS(VLOOKUP(C86,Benchmark_Properties!$A$2:$B$16,2,FALSE)-VLOOKUP(F86,Benchmark_Properties!$A$2:$B$16,2,FALSE))</x:f>
        <x:v>189.09999999999997</x:v>
      </x:c>
    </x:row>
    <x:row r="87">
      <x:c r="A87" t="n">
        <x:v>86</x:v>
      </x:c>
      <x:c r="B87" t="n">
        <x:v>153</x:v>
      </x:c>
      <x:c r="C87" t="inlineStr">
        <x:is>
          <x:t xml:space="preserve">Ba3Si6(NO6)2</x:t>
        </x:is>
      </x:c>
      <x:c r="D87" t="n">
        <x:v>0</x:v>
      </x:c>
      <x:c r="E87" t="n">
        <x:v>171</x:v>
      </x:c>
      <x:c r="F87" t="inlineStr">
        <x:is>
          <x:t xml:space="preserve">BaLi2SiO4</x:t>
        </x:is>
      </x:c>
      <x:c r="G87" t="n">
        <x:v>3</x:v>
      </x:c>
      <x:c r="H87" t="b">
        <x:v>0</x:v>
      </x:c>
      <x:c r="I87" t="n">
        <x:v>1.811721152837739</x:v>
      </x:c>
      <x:c r="J87" t="n">
        <x:v>0.7190603276236145</x:v>
      </x:c>
      <x:c r="K87" s="12" t="n">
        <x:f>ABS(VLOOKUP(C87,Benchmark_Properties!$A$2:$B$16,2,FALSE)-VLOOKUP(F87,Benchmark_Properties!$A$2:$B$16,2,FALSE))</x:f>
        <x:v>5.600000000000023</x:v>
      </x:c>
    </x:row>
    <x:row r="88">
      <x:c r="A88" t="n">
        <x:v>87</x:v>
      </x:c>
      <x:c r="B88" t="n">
        <x:v>95</x:v>
      </x:c>
      <x:c r="C88" t="inlineStr">
        <x:is>
          <x:t xml:space="preserve">Na3YSi2O7</x:t>
        </x:is>
      </x:c>
      <x:c r="D88" t="n">
        <x:v>3</x:v>
      </x:c>
      <x:c r="E88" t="n">
        <x:v>144</x:v>
      </x:c>
      <x:c r="F88" t="inlineStr">
        <x:is>
          <x:t xml:space="preserve">Ba2Mg(PO4)2</x:t>
        </x:is>
      </x:c>
      <x:c r="G88" t="n">
        <x:v>1</x:v>
      </x:c>
      <x:c r="H88" t="b">
        <x:v>0</x:v>
      </x:c>
      <x:c r="I88" t="n">
        <x:v>1.815943511177813</x:v>
      </x:c>
      <x:c r="J88" t="n">
        <x:v>0.7207361541527699</x:v>
      </x:c>
      <x:c r="K88" s="12" t="n">
        <x:f>ABS(VLOOKUP(C88,Benchmark_Properties!$A$2:$B$16,2,FALSE)-VLOOKUP(F88,Benchmark_Properties!$A$2:$B$16,2,FALSE))</x:f>
        <x:v>266.6</x:v>
      </x:c>
    </x:row>
    <x:row r="89">
      <x:c r="A89" t="n">
        <x:v>88</x:v>
      </x:c>
      <x:c r="B89" t="n">
        <x:v>153</x:v>
      </x:c>
      <x:c r="C89" t="inlineStr">
        <x:is>
          <x:t xml:space="preserve">Ba3Si6(NO6)2</x:t>
        </x:is>
      </x:c>
      <x:c r="D89" t="n">
        <x:v>0</x:v>
      </x:c>
      <x:c r="E89" t="n">
        <x:v>199</x:v>
      </x:c>
      <x:c r="F89" t="inlineStr">
        <x:is>
          <x:t xml:space="preserve">Cs2BaP2O7</x:t>
        </x:is>
      </x:c>
      <x:c r="G89" t="n">
        <x:v>2</x:v>
      </x:c>
      <x:c r="H89" t="b">
        <x:v>0</x:v>
      </x:c>
      <x:c r="I89" t="n">
        <x:v>1.824436422993619</x:v>
      </x:c>
      <x:c r="J89" t="n">
        <x:v>0.7241069355465769</x:v>
      </x:c>
      <x:c r="K89" s="12" t="n">
        <x:f>ABS(VLOOKUP(C89,Benchmark_Properties!$A$2:$B$16,2,FALSE)-VLOOKUP(F89,Benchmark_Properties!$A$2:$B$16,2,FALSE))</x:f>
        <x:v>219.09999999999997</x:v>
      </x:c>
    </x:row>
    <x:row r="90">
      <x:c r="A90" t="n">
        <x:v>89</x:v>
      </x:c>
      <x:c r="B90" t="n">
        <x:v>17</x:v>
      </x:c>
      <x:c r="C90" t="inlineStr">
        <x:is>
          <x:t xml:space="preserve">SrAl2O4</x:t>
        </x:is>
      </x:c>
      <x:c r="D90" t="n">
        <x:v>0</x:v>
      </x:c>
      <x:c r="E90" t="n">
        <x:v>199</x:v>
      </x:c>
      <x:c r="F90" t="inlineStr">
        <x:is>
          <x:t xml:space="preserve">Cs2BaP2O7</x:t>
        </x:is>
      </x:c>
      <x:c r="G90" t="n">
        <x:v>2</x:v>
      </x:c>
      <x:c r="H90" t="b">
        <x:v>0</x:v>
      </x:c>
      <x:c r="I90" t="n">
        <x:v>1.872738798705671</x:v>
      </x:c>
      <x:c r="J90" t="n">
        <x:v>0.7432778339213657</x:v>
      </x:c>
      <x:c r="K90" s="12" t="n">
        <x:f>ABS(VLOOKUP(C90,Benchmark_Properties!$A$2:$B$16,2,FALSE)-VLOOKUP(F90,Benchmark_Properties!$A$2:$B$16,2,FALSE))</x:f>
        <x:v>283.9</x:v>
      </x:c>
    </x:row>
    <x:row r="91">
      <x:c r="A91" t="n">
        <x:v>90</x:v>
      </x:c>
      <x:c r="B91" t="n">
        <x:v>142</x:v>
      </x:c>
      <x:c r="C91" t="inlineStr">
        <x:is>
          <x:t xml:space="preserve">Ba2Ca(BO3)2</x:t>
        </x:is>
      </x:c>
      <x:c r="D91" t="n">
        <x:v>0</x:v>
      </x:c>
      <x:c r="E91" t="n">
        <x:v>199</x:v>
      </x:c>
      <x:c r="F91" t="inlineStr">
        <x:is>
          <x:t xml:space="preserve">Cs2BaP2O7</x:t>
        </x:is>
      </x:c>
      <x:c r="G91" t="n">
        <x:v>2</x:v>
      </x:c>
      <x:c r="H91" t="b">
        <x:v>0</x:v>
      </x:c>
      <x:c r="I91" t="n">
        <x:v>1.941101792038422</x:v>
      </x:c>
      <x:c r="J91" t="n">
        <x:v>0.7704106607949621</x:v>
      </x:c>
      <x:c r="K91" s="12" t="n">
        <x:f>ABS(VLOOKUP(C91,Benchmark_Properties!$A$2:$B$16,2,FALSE)-VLOOKUP(F91,Benchmark_Properties!$A$2:$B$16,2,FALSE))</x:f>
        <x:v>172.8</x:v>
      </x:c>
    </x:row>
    <x:row r="92">
      <x:c r="A92" t="n">
        <x:v>91</x:v>
      </x:c>
      <x:c r="B92" t="n">
        <x:v>180</x:v>
      </x:c>
      <x:c r="C92" t="inlineStr">
        <x:is>
          <x:t xml:space="preserve">Ba6Y2Al4O15</x:t>
        </x:is>
      </x:c>
      <x:c r="D92" t="n">
        <x:v>0</x:v>
      </x:c>
      <x:c r="E92" t="n">
        <x:v>261</x:v>
      </x:c>
      <x:c r="F92" t="inlineStr">
        <x:is>
          <x:t xml:space="preserve">NaCaPO4</x:t>
        </x:is>
      </x:c>
      <x:c r="G92" t="n">
        <x:v>3</x:v>
      </x:c>
      <x:c r="H92" t="b">
        <x:v>0</x:v>
      </x:c>
      <x:c r="I92" t="n">
        <x:v>1.979916858278348</x:v>
      </x:c>
      <x:c r="J92" t="n">
        <x:v>0.7858161078216731</x:v>
      </x:c>
      <x:c r="K92" s="12" t="n">
        <x:f>ABS(VLOOKUP(C92,Benchmark_Properties!$A$2:$B$16,2,FALSE)-VLOOKUP(F92,Benchmark_Properties!$A$2:$B$16,2,FALSE))</x:f>
        <x:v>72.19999999999999</x:v>
      </x:c>
    </x:row>
    <x:row r="93">
      <x:c r="A93" t="n">
        <x:v>92</x:v>
      </x:c>
      <x:c r="B93" t="n">
        <x:v>144</x:v>
      </x:c>
      <x:c r="C93" t="inlineStr">
        <x:is>
          <x:t xml:space="preserve">Ba2Mg(PO4)2</x:t>
        </x:is>
      </x:c>
      <x:c r="D93" t="n">
        <x:v>1</x:v>
      </x:c>
      <x:c r="E93" t="n">
        <x:v>171</x:v>
      </x:c>
      <x:c r="F93" t="inlineStr">
        <x:is>
          <x:t xml:space="preserve">BaLi2SiO4</x:t>
        </x:is>
      </x:c>
      <x:c r="G93" t="n">
        <x:v>3</x:v>
      </x:c>
      <x:c r="H93" t="b">
        <x:v>0</x:v>
      </x:c>
      <x:c r="I93" t="n">
        <x:v>1.986717657289718</x:v>
      </x:c>
      <x:c r="J93" t="n">
        <x:v>0.788515300662447</x:v>
      </x:c>
      <x:c r="K93" s="12" t="n">
        <x:f>ABS(VLOOKUP(C93,Benchmark_Properties!$A$2:$B$16,2,FALSE)-VLOOKUP(F93,Benchmark_Properties!$A$2:$B$16,2,FALSE))</x:f>
        <x:v>81.89999999999998</x:v>
      </x:c>
    </x:row>
    <x:row r="94">
      <x:c r="A94" t="n">
        <x:v>93</x:v>
      </x:c>
      <x:c r="B94" t="n">
        <x:v>17</x:v>
      </x:c>
      <x:c r="C94" t="inlineStr">
        <x:is>
          <x:t xml:space="preserve">SrAl2O4</x:t>
        </x:is>
      </x:c>
      <x:c r="D94" t="n">
        <x:v>0</x:v>
      </x:c>
      <x:c r="E94" t="n">
        <x:v>283</x:v>
      </x:c>
      <x:c r="F94" t="inlineStr">
        <x:is>
          <x:t xml:space="preserve">RbLi7(SiO4)2</x:t>
        </x:is>
      </x:c>
      <x:c r="G94" t="n">
        <x:v>3</x:v>
      </x:c>
      <x:c r="H94" t="b">
        <x:v>0</x:v>
      </x:c>
      <x:c r="I94" t="n">
        <x:v>2.018281290356302</x:v>
      </x:c>
      <x:c r="J94" t="n">
        <x:v>0.8010427010840293</x:v>
      </x:c>
      <x:c r="K94" s="12" t="n">
        <x:f>ABS(VLOOKUP(C94,Benchmark_Properties!$A$2:$B$16,2,FALSE)-VLOOKUP(F94,Benchmark_Properties!$A$2:$B$16,2,FALSE))</x:f>
        <x:v>48.599999999999966</x:v>
      </x:c>
    </x:row>
    <x:row r="95">
      <x:c r="A95" t="n">
        <x:v>94</x:v>
      </x:c>
      <x:c r="B95" t="n">
        <x:v>14</x:v>
      </x:c>
      <x:c r="C95" t="inlineStr">
        <x:is>
          <x:t xml:space="preserve">K2RbNaLi12(SiO4)4</x:t>
        </x:is>
      </x:c>
      <x:c r="D95" t="n">
        <x:v>3</x:v>
      </x:c>
      <x:c r="E95" t="n">
        <x:v>17</x:v>
      </x:c>
      <x:c r="F95" t="inlineStr">
        <x:is>
          <x:t xml:space="preserve">SrAl2O4</x:t>
        </x:is>
      </x:c>
      <x:c r="G95" t="n">
        <x:v>0</x:v>
      </x:c>
      <x:c r="H95" t="b">
        <x:v>0</x:v>
      </x:c>
      <x:c r="I95" t="n">
        <x:v>2.092864497889426</x:v>
      </x:c>
      <x:c r="J95" t="n">
        <x:v>0.8306442904676862</x:v>
      </x:c>
      <x:c r="K95" s="12" t="n">
        <x:f>ABS(VLOOKUP(C95,Benchmark_Properties!$A$2:$B$16,2,FALSE)-VLOOKUP(F95,Benchmark_Properties!$A$2:$B$16,2,FALSE))</x:f>
        <x:v>130.2</x:v>
      </x:c>
    </x:row>
    <x:row r="96">
      <x:c r="A96" t="n">
        <x:v>95</x:v>
      </x:c>
      <x:c r="B96" t="n">
        <x:v>142</x:v>
      </x:c>
      <x:c r="C96" t="inlineStr">
        <x:is>
          <x:t xml:space="preserve">Ba2Ca(BO3)2</x:t>
        </x:is>
      </x:c>
      <x:c r="D96" t="n">
        <x:v>0</x:v>
      </x:c>
      <x:c r="E96" t="n">
        <x:v>261</x:v>
      </x:c>
      <x:c r="F96" t="inlineStr">
        <x:is>
          <x:t xml:space="preserve">NaCaPO4</x:t>
        </x:is>
      </x:c>
      <x:c r="G96" t="n">
        <x:v>3</x:v>
      </x:c>
      <x:c r="H96" t="b">
        <x:v>0</x:v>
      </x:c>
      <x:c r="I96" t="n">
        <x:v>2.097841521108817</x:v>
      </x:c>
      <x:c r="J96" t="n">
        <x:v>0.832619638573061</x:v>
      </x:c>
      <x:c r="K96" s="12" t="n">
        <x:f>ABS(VLOOKUP(C96,Benchmark_Properties!$A$2:$B$16,2,FALSE)-VLOOKUP(F96,Benchmark_Properties!$A$2:$B$16,2,FALSE))</x:f>
        <x:v>101.09999999999997</x:v>
      </x:c>
    </x:row>
    <x:row r="97">
      <x:c r="A97" t="n">
        <x:v>96</x:v>
      </x:c>
      <x:c r="B97" t="n">
        <x:v>180</x:v>
      </x:c>
      <x:c r="C97" t="inlineStr">
        <x:is>
          <x:t xml:space="preserve">Ba6Y2Al4O15</x:t>
        </x:is>
      </x:c>
      <x:c r="D97" t="n">
        <x:v>0</x:v>
      </x:c>
      <x:c r="E97" t="n">
        <x:v>283</x:v>
      </x:c>
      <x:c r="F97" t="inlineStr">
        <x:is>
          <x:t xml:space="preserve">RbLi7(SiO4)2</x:t>
        </x:is>
      </x:c>
      <x:c r="G97" t="n">
        <x:v>3</x:v>
      </x:c>
      <x:c r="H97" t="b">
        <x:v>0</x:v>
      </x:c>
      <x:c r="I97" t="n">
        <x:v>2.173926884963403</x:v>
      </x:c>
      <x:c r="J97" t="n">
        <x:v>0.8628174240186562</x:v>
      </x:c>
      <x:c r="K97" s="12" t="n">
        <x:f>ABS(VLOOKUP(C97,Benchmark_Properties!$A$2:$B$16,2,FALSE)-VLOOKUP(F97,Benchmark_Properties!$A$2:$B$16,2,FALSE))</x:f>
        <x:v>130.79999999999995</x:v>
      </x:c>
    </x:row>
    <x:row r="98">
      <x:c r="A98" t="n">
        <x:v>97</x:v>
      </x:c>
      <x:c r="B98" t="n">
        <x:v>142</x:v>
      </x:c>
      <x:c r="C98" t="inlineStr">
        <x:is>
          <x:t xml:space="preserve">Ba2Ca(BO3)2</x:t>
        </x:is>
      </x:c>
      <x:c r="D98" t="n">
        <x:v>0</x:v>
      </x:c>
      <x:c r="E98" t="n">
        <x:v>283</x:v>
      </x:c>
      <x:c r="F98" t="inlineStr">
        <x:is>
          <x:t xml:space="preserve">RbLi7(SiO4)2</x:t>
        </x:is>
      </x:c>
      <x:c r="G98" t="n">
        <x:v>3</x:v>
      </x:c>
      <x:c r="H98" t="b">
        <x:v>0</x:v>
      </x:c>
      <x:c r="I98" t="n">
        <x:v>2.196212125882636</x:v>
      </x:c>
      <x:c r="J98" t="n">
        <x:v>0.8716622910178936</x:v>
      </x:c>
      <x:c r="K98" s="12" t="n">
        <x:f>ABS(VLOOKUP(C98,Benchmark_Properties!$A$2:$B$16,2,FALSE)-VLOOKUP(F98,Benchmark_Properties!$A$2:$B$16,2,FALSE))</x:f>
        <x:v>159.69999999999993</x:v>
      </x:c>
    </x:row>
    <x:row r="99">
      <x:c r="A99" t="n">
        <x:v>98</x:v>
      </x:c>
      <x:c r="B99" t="n">
        <x:v>111</x:v>
      </x:c>
      <x:c r="C99" t="inlineStr">
        <x:is>
          <x:t xml:space="preserve">Ba2MgSi2O7</x:t>
        </x:is>
      </x:c>
      <x:c r="D99" t="n">
        <x:v>0</x:v>
      </x:c>
      <x:c r="E99" t="n">
        <x:v>283</x:v>
      </x:c>
      <x:c r="F99" t="inlineStr">
        <x:is>
          <x:t xml:space="preserve">RbLi7(SiO4)2</x:t>
        </x:is>
      </x:c>
      <x:c r="G99" t="n">
        <x:v>3</x:v>
      </x:c>
      <x:c r="H99" t="b">
        <x:v>0</x:v>
      </x:c>
      <x:c r="I99" t="n">
        <x:v>2.205905098281971</x:v>
      </x:c>
      <x:c r="J99" t="n">
        <x:v>0.8755093686425023</x:v>
      </x:c>
      <x:c r="K99" s="12" t="n">
        <x:f>ABS(VLOOKUP(C99,Benchmark_Properties!$A$2:$B$16,2,FALSE)-VLOOKUP(F99,Benchmark_Properties!$A$2:$B$16,2,FALSE))</x:f>
        <x:v>121.99999999999994</x:v>
      </x:c>
    </x:row>
    <x:row r="100">
      <x:c r="A100" t="n">
        <x:v>99</x:v>
      </x:c>
      <x:c r="B100" t="n">
        <x:v>14</x:v>
      </x:c>
      <x:c r="C100" t="inlineStr">
        <x:is>
          <x:t xml:space="preserve">K2RbNaLi12(SiO4)4</x:t>
        </x:is>
      </x:c>
      <x:c r="D100" t="n">
        <x:v>3</x:v>
      </x:c>
      <x:c r="E100" t="n">
        <x:v>180</x:v>
      </x:c>
      <x:c r="F100" t="inlineStr">
        <x:is>
          <x:t xml:space="preserve">Ba6Y2Al4O15</x:t>
        </x:is>
      </x:c>
      <x:c r="G100" t="n">
        <x:v>0</x:v>
      </x:c>
      <x:c r="H100" t="b">
        <x:v>0</x:v>
      </x:c>
      <x:c r="I100" t="n">
        <x:v>2.234910275413482</x:v>
      </x:c>
      <x:c r="J100" t="n">
        <x:v>0.887021334564133</x:v>
      </x:c>
      <x:c r="K100" s="12" t="n">
        <x:f>ABS(VLOOKUP(C100,Benchmark_Properties!$A$2:$B$16,2,FALSE)-VLOOKUP(F100,Benchmark_Properties!$A$2:$B$16,2,FALSE))</x:f>
        <x:v>212.39999999999998</x:v>
      </x:c>
    </x:row>
    <x:row r="101">
      <x:c r="A101" t="n">
        <x:v>100</x:v>
      </x:c>
      <x:c r="B101" t="n">
        <x:v>14</x:v>
      </x:c>
      <x:c r="C101" t="inlineStr">
        <x:is>
          <x:t xml:space="preserve">K2RbNaLi12(SiO4)4</x:t>
        </x:is>
      </x:c>
      <x:c r="D101" t="n">
        <x:v>3</x:v>
      </x:c>
      <x:c r="E101" t="n">
        <x:v>142</x:v>
      </x:c>
      <x:c r="F101" t="inlineStr">
        <x:is>
          <x:t xml:space="preserve">Ba2Ca(BO3)2</x:t>
        </x:is>
      </x:c>
      <x:c r="G101" t="n">
        <x:v>0</x:v>
      </x:c>
      <x:c r="H101" t="b">
        <x:v>0</x:v>
      </x:c>
      <x:c r="I101" t="n">
        <x:v>2.252705764879404</x:v>
      </x:c>
      <x:c r="J101" t="n">
        <x:v>0.8940842484488362</x:v>
      </x:c>
      <x:c r="K101" s="12" t="n">
        <x:f>ABS(VLOOKUP(C101,Benchmark_Properties!$A$2:$B$16,2,FALSE)-VLOOKUP(F101,Benchmark_Properties!$A$2:$B$16,2,FALSE))</x:f>
        <x:v>241.29999999999995</x:v>
      </x:c>
    </x:row>
    <x:row r="102">
      <x:c r="A102" t="n">
        <x:v>101</x:v>
      </x:c>
      <x:c r="B102" t="n">
        <x:v>14</x:v>
      </x:c>
      <x:c r="C102" t="inlineStr">
        <x:is>
          <x:t xml:space="preserve">K2RbNaLi12(SiO4)4</x:t>
        </x:is>
      </x:c>
      <x:c r="D102" t="n">
        <x:v>3</x:v>
      </x:c>
      <x:c r="E102" t="n">
        <x:v>111</x:v>
      </x:c>
      <x:c r="F102" t="inlineStr">
        <x:is>
          <x:t xml:space="preserve">Ba2MgSi2O7</x:t>
        </x:is>
      </x:c>
      <x:c r="G102" t="n">
        <x:v>0</x:v>
      </x:c>
      <x:c r="H102" t="b">
        <x:v>0</x:v>
      </x:c>
      <x:c r="I102" t="n">
        <x:v>2.278076406318152</x:v>
      </x:c>
      <x:c r="J102" t="n">
        <x:v>0.9041536908221248</x:v>
      </x:c>
      <x:c r="K102" s="12" t="n">
        <x:f>ABS(VLOOKUP(C102,Benchmark_Properties!$A$2:$B$16,2,FALSE)-VLOOKUP(F102,Benchmark_Properties!$A$2:$B$16,2,FALSE))</x:f>
        <x:v>203.59999999999997</x:v>
      </x:c>
    </x:row>
    <x:row r="103">
      <x:c r="A103" t="n">
        <x:v>102</x:v>
      </x:c>
      <x:c r="B103" t="n">
        <x:v>153</x:v>
      </x:c>
      <x:c r="C103" t="inlineStr">
        <x:is>
          <x:t xml:space="preserve">Ba3Si6(NO6)2</x:t>
        </x:is>
      </x:c>
      <x:c r="D103" t="n">
        <x:v>0</x:v>
      </x:c>
      <x:c r="E103" t="n">
        <x:v>283</x:v>
      </x:c>
      <x:c r="F103" t="inlineStr">
        <x:is>
          <x:t xml:space="preserve">RbLi7(SiO4)2</x:t>
        </x:is>
      </x:c>
      <x:c r="G103" t="n">
        <x:v>3</x:v>
      </x:c>
      <x:c r="H103" t="b">
        <x:v>0</x:v>
      </x:c>
      <x:c r="I103" t="n">
        <x:v>2.280210363194688</x:v>
      </x:c>
      <x:c r="J103" t="n">
        <x:v>0.9050006444100833</x:v>
      </x:c>
      <x:c r="K103" s="12" t="n">
        <x:f>ABS(VLOOKUP(C103,Benchmark_Properties!$A$2:$B$16,2,FALSE)-VLOOKUP(F103,Benchmark_Properties!$A$2:$B$16,2,FALSE))</x:f>
        <x:v>113.39999999999998</x:v>
      </x:c>
    </x:row>
    <x:row r="104">
      <x:c r="A104" t="n">
        <x:v>103</x:v>
      </x:c>
      <x:c r="B104" t="n">
        <x:v>14</x:v>
      </x:c>
      <x:c r="C104" t="inlineStr">
        <x:is>
          <x:t xml:space="preserve">K2RbNaLi12(SiO4)4</x:t>
        </x:is>
      </x:c>
      <x:c r="D104" t="n">
        <x:v>3</x:v>
      </x:c>
      <x:c r="E104" t="n">
        <x:v>153</x:v>
      </x:c>
      <x:c r="F104" t="inlineStr">
        <x:is>
          <x:t xml:space="preserve">Ba3Si6(NO6)2</x:t>
        </x:is>
      </x:c>
      <x:c r="G104" t="n">
        <x:v>0</x:v>
      </x:c>
      <x:c r="H104" t="b">
        <x:v>0</x:v>
      </x:c>
      <x:c r="I104" t="n">
        <x:v>2.355389701618006</x:v>
      </x:c>
      <x:c r="J104" t="n">
        <x:v>0.9348388342620508</x:v>
      </x:c>
      <x:c r="K104" s="12" t="n">
        <x:f>ABS(VLOOKUP(C104,Benchmark_Properties!$A$2:$B$16,2,FALSE)-VLOOKUP(F104,Benchmark_Properties!$A$2:$B$16,2,FALSE))</x:f>
        <x:v>195</x:v>
      </x:c>
    </x:row>
    <x:row r="105">
      <x:c r="A105" t="n">
        <x:v>104</x:v>
      </x:c>
      <x:c r="B105" t="n">
        <x:v>144</x:v>
      </x:c>
      <x:c r="C105" t="inlineStr">
        <x:is>
          <x:t xml:space="preserve">Ba2Mg(PO4)2</x:t>
        </x:is>
      </x:c>
      <x:c r="D105" t="n">
        <x:v>1</x:v>
      </x:c>
      <x:c r="E105" t="n">
        <x:v>283</x:v>
      </x:c>
      <x:c r="F105" t="inlineStr">
        <x:is>
          <x:t xml:space="preserve">RbLi7(SiO4)2</x:t>
        </x:is>
      </x:c>
      <x:c r="G105" t="n">
        <x:v>3</x:v>
      </x:c>
      <x:c r="H105" t="b">
        <x:v>0</x:v>
      </x:c>
      <x:c r="I105" t="n">
        <x:v>2.440742925876028</x:v>
      </x:c>
      <x:c r="J105" t="n">
        <x:v>0.9687149731494143</x:v>
      </x:c>
      <x:c r="K105" s="12" t="n">
        <x:f>ABS(VLOOKUP(C105,Benchmark_Properties!$A$2:$B$16,2,FALSE)-VLOOKUP(F105,Benchmark_Properties!$A$2:$B$16,2,FALSE))</x:f>
        <x:v>189.69999999999993</x:v>
      </x:c>
    </x:row>
    <x:row r="106">
      <x:c r="A106" t="n">
        <x:v>105</x:v>
      </x:c>
      <x:c r="B106" t="n">
        <x:v>14</x:v>
      </x:c>
      <x:c r="C106" t="inlineStr">
        <x:is>
          <x:t xml:space="preserve">K2RbNaLi12(SiO4)4</x:t>
        </x:is>
      </x:c>
      <x:c r="D106" t="n">
        <x:v>3</x:v>
      </x:c>
      <x:c r="E106" t="n">
        <x:v>144</x:v>
      </x:c>
      <x:c r="F106" t="inlineStr">
        <x:is>
          <x:t xml:space="preserve">Ba2Mg(PO4)2</x:t>
        </x:is>
      </x:c>
      <x:c r="G106" t="n">
        <x:v>1</x:v>
      </x:c>
      <x:c r="H106" t="b">
        <x:v>0</x:v>
      </x:c>
      <x:c r="I106" t="n">
        <x:v>2.519567668021963</x:v>
      </x:c>
      <x:c r="J106" t="n">
        <x:v>1</x:v>
      </x:c>
      <x:c r="K106" s="12" t="n">
        <x:f>ABS(VLOOKUP(C106,Benchmark_Properties!$A$2:$B$16,2,FALSE)-VLOOKUP(F106,Benchmark_Properties!$A$2:$B$16,2,FALSE))</x:f>
        <x:v>271.29999999999995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Number</x:t>
        </x:is>
      </x:c>
      <x:c r="B1" s="1" t="inlineStr">
        <x:is>
          <x:t xml:space="preserve">Composition</x:t>
        </x:is>
      </x:c>
      <x:c r="C1" s="1" t="inlineStr">
        <x:is>
          <x:t xml:space="preserve">Cluster</x:t>
        </x:is>
      </x:c>
      <x:c r="D1" s="1" t="inlineStr">
        <x:is>
          <x:t xml:space="preserve">PC1</x:t>
        </x:is>
      </x:c>
      <x:c r="E1" s="1" t="inlineStr">
        <x:is>
          <x:t xml:space="preserve">PC2</x:t>
        </x:is>
      </x:c>
      <x:c r="F1" s="1" t="inlineStr">
        <x:is>
          <x:t xml:space="preserve">PC3</x:t>
        </x:is>
      </x:c>
    </x:row>
    <x:row r="2">
      <x:c r="A2" t="n">
        <x:v>14</x:v>
      </x:c>
      <x:c r="B2" t="inlineStr">
        <x:is>
          <x:t xml:space="preserve">K2RbNaLi12(SiO4)4</x:t>
        </x:is>
      </x:c>
      <x:c r="C2" t="n">
        <x:v>3</x:v>
      </x:c>
      <x:c r="D2" t="n">
        <x:v>1.365911055908247</x:v>
      </x:c>
      <x:c r="E2" t="n">
        <x:v>0.4377117706287606</x:v>
      </x:c>
      <x:c r="F2" t="n">
        <x:v>0.1376165614741406</x:v>
      </x:c>
    </x:row>
    <x:row r="3">
      <x:c r="A3" t="n">
        <x:v>15</x:v>
      </x:c>
      <x:c r="B3" t="inlineStr">
        <x:is>
          <x:t xml:space="preserve">Rb2ZrSi2O7</x:t>
        </x:is>
      </x:c>
      <x:c r="C3" t="n">
        <x:v>3</x:v>
      </x:c>
      <x:c r="D3" t="n">
        <x:v>0.4780894286392334</x:v>
      </x:c>
      <x:c r="E3" t="n">
        <x:v>0.1231157631963132</x:v>
      </x:c>
      <x:c r="F3" t="n">
        <x:v>0.4510605339058873</x:v>
      </x:c>
    </x:row>
    <x:row r="4">
      <x:c r="A4" t="n">
        <x:v>16</x:v>
      </x:c>
      <x:c r="B4" t="inlineStr">
        <x:is>
          <x:t xml:space="preserve">Sr2LiSiO4F</x:t>
        </x:is>
      </x:c>
      <x:c r="C4" t="n">
        <x:v>3</x:v>
      </x:c>
      <x:c r="D4" t="n">
        <x:v>0.6573279680694906</x:v>
      </x:c>
      <x:c r="E4" t="n">
        <x:v>0.1311531527482408</x:v>
      </x:c>
      <x:c r="F4" t="n">
        <x:v>0.2810647312930387</x:v>
      </x:c>
    </x:row>
    <x:row r="5">
      <x:c r="A5" t="n">
        <x:v>17</x:v>
      </x:c>
      <x:c r="B5" t="inlineStr">
        <x:is>
          <x:t xml:space="preserve">SrAl2O4</x:t>
        </x:is>
      </x:c>
      <x:c r="C5" t="n">
        <x:v>0</x:v>
      </x:c>
      <x:c r="D5" t="n">
        <x:v>-0.7219958379717911</x:v>
      </x:c>
      <x:c r="E5" t="n">
        <x:v>0.3283311343335572</x:v>
      </x:c>
      <x:c r="F5" t="n">
        <x:v>0.04400841322928974</x:v>
      </x:c>
    </x:row>
    <x:row r="6">
      <x:c r="A6" t="n">
        <x:v>95</x:v>
      </x:c>
      <x:c r="B6" t="inlineStr">
        <x:is>
          <x:t xml:space="preserve">Na3YSi2O7</x:t>
        </x:is>
      </x:c>
      <x:c r="C6" t="n">
        <x:v>3</x:v>
      </x:c>
      <x:c r="D6" t="n">
        <x:v>0.6327129482559477</x:v>
      </x:c>
      <x:c r="E6" t="n">
        <x:v>0.3106436766166636</x:v>
      </x:c>
      <x:c r="F6" t="n">
        <x:v>-0.231327443910417</x:v>
      </x:c>
    </x:row>
    <x:row r="7">
      <x:c r="A7" t="n">
        <x:v>111</x:v>
      </x:c>
      <x:c r="B7" t="inlineStr">
        <x:is>
          <x:t xml:space="preserve">Ba2MgSi2O7</x:t>
        </x:is>
      </x:c>
      <x:c r="C7" t="n">
        <x:v>0</x:v>
      </x:c>
      <x:c r="D7" t="n">
        <x:v>-0.84870595283631</x:v>
      </x:c>
      <x:c r="E7" t="n">
        <x:v>-0.06330269137792957</x:v>
      </x:c>
      <x:c r="F7" t="n">
        <x:v>0.3222462623970572</x:v>
      </x:c>
    </x:row>
    <x:row r="8">
      <x:c r="A8" t="n">
        <x:v>142</x:v>
      </x:c>
      <x:c r="B8" t="inlineStr">
        <x:is>
          <x:t xml:space="preserve">Ba2Ca(BO3)2</x:t>
        </x:is>
      </x:c>
      <x:c r="C8" t="n">
        <x:v>0</x:v>
      </x:c>
      <x:c r="D8" t="n">
        <x:v>-0.7903970823682128</x:v>
      </x:c>
      <x:c r="E8" t="n">
        <x:v>0.4314923042597231</x:v>
      </x:c>
      <x:c r="F8" t="n">
        <x:v>0.7895213046396521</x:v>
      </x:c>
    </x:row>
    <x:row r="9">
      <x:c r="A9" t="n">
        <x:v>144</x:v>
      </x:c>
      <x:c r="B9" t="inlineStr">
        <x:is>
          <x:t xml:space="preserve">Ba2Mg(PO4)2</x:t>
        </x:is>
      </x:c>
      <x:c r="C9" t="n">
        <x:v>1</x:v>
      </x:c>
      <x:c r="D9" t="n">
        <x:v>-0.9222873417907016</x:v>
      </x:c>
      <x:c r="E9" t="n">
        <x:v>-0.6043235140621068</x:v>
      </x:c>
      <x:c r="F9" t="n">
        <x:v>-0.02526926347334262</x:v>
      </x:c>
    </x:row>
    <x:row r="10">
      <x:c r="A10" t="n">
        <x:v>153</x:v>
      </x:c>
      <x:c r="B10" t="inlineStr">
        <x:is>
          <x:t xml:space="preserve">Ba3Si6(NO6)2</x:t>
        </x:is>
      </x:c>
      <x:c r="C10" t="n">
        <x:v>0</x:v>
      </x:c>
      <x:c r="D10" t="n">
        <x:v>-0.9518844615797948</x:v>
      </x:c>
      <x:c r="E10" t="n">
        <x:v>0.01858745119742414</x:v>
      </x:c>
      <x:c r="F10" t="n">
        <x:v>0.1420200216726124</x:v>
      </x:c>
    </x:row>
    <x:row r="11">
      <x:c r="A11" t="n">
        <x:v>157</x:v>
      </x:c>
      <x:c r="B11" t="inlineStr">
        <x:is>
          <x:t xml:space="preserve">BaNa(B3O5)3</x:t>
        </x:is>
      </x:c>
      <x:c r="C11" t="n">
        <x:v>0</x:v>
      </x:c>
      <x:c r="D11" t="n">
        <x:v>-0.2184583053400746</x:v>
      </x:c>
      <x:c r="E11" t="n">
        <x:v>0.6188622493129157</x:v>
      </x:c>
      <x:c r="F11" t="n">
        <x:v>0.1264860679427879</x:v>
      </x:c>
    </x:row>
    <x:row r="12">
      <x:c r="A12" t="n">
        <x:v>171</x:v>
      </x:c>
      <x:c r="B12" t="inlineStr">
        <x:is>
          <x:t xml:space="preserve">BaLi2SiO4</x:t>
        </x:is>
      </x:c>
      <x:c r="C12" t="n">
        <x:v>3</x:v>
      </x:c>
      <x:c r="D12" t="n">
        <x:v>0.8389035652157495</x:v>
      </x:c>
      <x:c r="E12" t="n">
        <x:v>0.2868945548579096</x:v>
      </x:c>
      <x:c r="F12" t="n">
        <x:v>0.2005270883462099</x:v>
      </x:c>
    </x:row>
    <x:row r="13">
      <x:c r="A13" t="n">
        <x:v>180</x:v>
      </x:c>
      <x:c r="B13" t="inlineStr">
        <x:is>
          <x:t xml:space="preserve">Ba6Y2Al4O15</x:t>
        </x:is>
      </x:c>
      <x:c r="C13" t="n">
        <x:v>0</x:v>
      </x:c>
      <x:c r="D13" t="n">
        <x:v>-0.7895899802920929</x:v>
      </x:c>
      <x:c r="E13" t="n">
        <x:v>0.243109672458081</x:v>
      </x:c>
      <x:c r="F13" t="n">
        <x:v>0.6950833725719826</x:v>
      </x:c>
    </x:row>
    <x:row r="14">
      <x:c r="A14" t="n">
        <x:v>199</x:v>
      </x:c>
      <x:c r="B14" t="inlineStr">
        <x:is>
          <x:t xml:space="preserve">Cs2BaP2O7</x:t>
        </x:is>
      </x:c>
      <x:c r="C14" t="n">
        <x:v>2</x:v>
      </x:c>
      <x:c r="D14" t="n">
        <x:v>0.520988116338067</x:v>
      </x:c>
      <x:c r="E14" t="n">
        <x:v>-0.9789638738883083</x:v>
      </x:c>
      <x:c r="F14" t="n">
        <x:v>0.5471199903013964</x:v>
      </x:c>
    </x:row>
    <x:row r="15">
      <x:c r="A15" t="n">
        <x:v>261</x:v>
      </x:c>
      <x:c r="B15" t="inlineStr">
        <x:is>
          <x:t xml:space="preserve">NaCaPO4</x:t>
        </x:is>
      </x:c>
      <x:c r="C15" t="n">
        <x:v>3</x:v>
      </x:c>
      <x:c r="D15" t="n">
        <x:v>0.6142050586469257</x:v>
      </x:c>
      <x:c r="E15" t="n">
        <x:v>-0.2555426514924736</x:v>
      </x:c>
      <x:c r="F15" t="n">
        <x:v>-0.6090547007023606</x:v>
      </x:c>
    </x:row>
    <x:row r="16">
      <x:c r="A16" t="n">
        <x:v>283</x:v>
      </x:c>
      <x:c r="B16" t="inlineStr">
        <x:is>
          <x:t xml:space="preserve">RbLi7(SiO4)2</x:t>
        </x:is>
      </x:c>
      <x:c r="C16" t="n">
        <x:v>3</x:v>
      </x:c>
      <x:c r="D16" t="n">
        <x:v>1.293881876912752</x:v>
      </x:c>
      <x:c r="E16" t="n">
        <x:v>0.4109175303939864</x:v>
      </x:c>
      <x:c r="F16" t="n">
        <x:v>0.09763576464552999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17 | SrAl2O4</x:t>
        </x:is>
      </x:c>
      <x:c r="C1" s="1" t="inlineStr">
        <x:is>
          <x:t xml:space="preserve">111 | Ba2MgSi2O7</x:t>
        </x:is>
      </x:c>
      <x:c r="D1" s="1" t="inlineStr">
        <x:is>
          <x:t xml:space="preserve">142 | Ba2Ca(BO3)2</x:t>
        </x:is>
      </x:c>
      <x:c r="E1" s="1" t="inlineStr">
        <x:is>
          <x:t xml:space="preserve">153 | Ba3Si6(NO6)2</x:t>
        </x:is>
      </x:c>
      <x:c r="F1" s="1" t="inlineStr">
        <x:is>
          <x:t xml:space="preserve">157 | BaNa(B3O5)3</x:t>
        </x:is>
      </x:c>
      <x:c r="G1" s="1" t="inlineStr">
        <x:is>
          <x:t xml:space="preserve">180 | Ba6Y2Al4O15</x:t>
        </x:is>
      </x:c>
      <x:c r="H1" s="1" t="inlineStr">
        <x:is>
          <x:t xml:space="preserve">144 | Ba2Mg(PO4)2</x:t>
        </x:is>
      </x:c>
      <x:c r="I1" s="1" t="inlineStr">
        <x:is>
          <x:t xml:space="preserve">199 | Cs2BaP2O7</x:t>
        </x:is>
      </x:c>
      <x:c r="J1" s="1" t="inlineStr">
        <x:is>
          <x:t xml:space="preserve">14 | K2RbNaLi12(SiO4)4</x:t>
        </x:is>
      </x:c>
      <x:c r="K1" s="1" t="inlineStr">
        <x:is>
          <x:t xml:space="preserve">15 | Rb2ZrSi2O7</x:t>
        </x:is>
      </x:c>
      <x:c r="L1" s="1" t="inlineStr">
        <x:is>
          <x:t xml:space="preserve">16 | Sr2LiSiO4F</x:t>
        </x:is>
      </x:c>
      <x:c r="M1" s="1" t="inlineStr">
        <x:is>
          <x:t xml:space="preserve">95 | Na3YSi2O7</x:t>
        </x:is>
      </x:c>
      <x:c r="N1" s="1" t="inlineStr">
        <x:is>
          <x:t xml:space="preserve">171 | BaLi2SiO4</x:t>
        </x:is>
      </x:c>
      <x:c r="O1" s="1" t="inlineStr">
        <x:is>
          <x:t xml:space="preserve">261 | NaCaPO4</x:t>
        </x:is>
      </x:c>
      <x:c r="P1" s="1" t="inlineStr">
        <x:is>
          <x:t xml:space="preserve">283 | RbLi7(SiO4)2</x:t>
        </x:is>
      </x:c>
    </x:row>
    <x:row r="2">
      <x:c r="A2" s="1" t="inlineStr">
        <x:is>
          <x:t xml:space="preserve">17 | SrAl2O4</x:t>
        </x:is>
      </x:c>
      <x:c r="B2" t="n">
        <x:v>0</x:v>
      </x:c>
      <x:c r="C2" t="n">
        <x:v>0.4968388142646467</x:v>
      </x:c>
      <x:c r="D2" t="n">
        <x:v>0.7557184849363903</x:v>
      </x:c>
      <x:c r="E2" t="n">
        <x:v>0.3979902057799498</x:v>
      </x:c>
      <x:c r="F2" t="n">
        <x:v>0.5871634687776695</x:v>
      </x:c>
      <x:c r="G2" t="n">
        <x:v>0.6600986807465228</x:v>
      </x:c>
      <x:c r="H2" t="n">
        <x:v>0.956431271009786</x:v>
      </x:c>
      <x:c r="I2" t="n">
        <x:v>1.872738798705671</x:v>
      </x:c>
      <x:c r="J2" t="n">
        <x:v>2.092864497889426</x:v>
      </x:c>
      <x:c r="K2" t="n">
        <x:v>1.283748193624889</x:v>
      </x:c>
      <x:c r="L2" t="n">
        <x:v>1.413367969167339</x:v>
      </x:c>
      <x:c r="M2" t="n">
        <x:v>1.382518924235751</x:v>
      </x:c>
      <x:c r="N2" t="n">
        <x:v>1.569274365001295</x:v>
      </x:c>
      <x:c r="O2" t="n">
        <x:v>1.597758700391767</x:v>
      </x:c>
      <x:c r="P2" t="n">
        <x:v>2.018281290356302</x:v>
      </x:c>
    </x:row>
    <x:row r="3">
      <x:c r="A3" s="1" t="inlineStr">
        <x:is>
          <x:t xml:space="preserve">111 | Ba2MgSi2O7</x:t>
        </x:is>
      </x:c>
      <x:c r="B3" t="n">
        <x:v>0.4968388142646467</x:v>
      </x:c>
      <x:c r="C3" t="n">
        <x:v>0</x:v>
      </x:c>
      <x:c r="D3" t="n">
        <x:v>0.6830578139412133</x:v>
      </x:c>
      <x:c r="E3" t="n">
        <x:v>0.2232337294478737</x:v>
      </x:c>
      <x:c r="F3" t="n">
        <x:v>0.9491486486399571</x:v>
      </x:c>
      <x:c r="G3" t="n">
        <x:v>0.4862003143201472</x:v>
      </x:c>
      <x:c r="H3" t="n">
        <x:v>0.6472130963595389</x:v>
      </x:c>
      <x:c r="I3" t="n">
        <x:v>1.662848591360429</x:v>
      </x:c>
      <x:c r="J3" t="n">
        <x:v>2.278076406318152</x:v>
      </x:c>
      <x:c r="K3" t="n">
        <x:v>1.346005550157588</x:v>
      </x:c>
      <x:c r="L3" t="n">
        <x:v>1.5190941921875</x:v>
      </x:c>
      <x:c r="M3" t="n">
        <x:v>1.625078981146681</x:v>
      </x:c>
      <x:c r="N3" t="n">
        <x:v>1.72785403145714</x:v>
      </x:c>
      <x:c r="O3" t="n">
        <x:v>1.744816985719032</x:v>
      </x:c>
      <x:c r="P3" t="n">
        <x:v>2.205905098281971</x:v>
      </x:c>
    </x:row>
    <x:row r="4">
      <x:c r="A4" s="1" t="inlineStr">
        <x:is>
          <x:t xml:space="preserve">142 | Ba2Ca(BO3)2</x:t>
        </x:is>
      </x:c>
      <x:c r="B4" t="n">
        <x:v>0.7557184849363903</x:v>
      </x:c>
      <x:c r="C4" t="n">
        <x:v>0.6830578139412133</x:v>
      </x:c>
      <x:c r="D4" t="n">
        <x:v>0</x:v>
      </x:c>
      <x:c r="E4" t="n">
        <x:v>0.7847461390608982</x:v>
      </x:c>
      <x:c r="F4" t="n">
        <x:v>0.8954536202837898</x:v>
      </x:c>
      <x:c r="G4" t="n">
        <x:v>0.2107301364102729</x:v>
      </x:c>
      <x:c r="H4" t="n">
        <x:v>1.324459557669524</x:v>
      </x:c>
      <x:c r="I4" t="n">
        <x:v>1.941101792038422</x:v>
      </x:c>
      <x:c r="J4" t="n">
        <x:v>2.252705764879404</x:v>
      </x:c>
      <x:c r="K4" t="n">
        <x:v>1.348595496437598</x:v>
      </x:c>
      <x:c r="L4" t="n">
        <x:v>1.563534302333936</x:v>
      </x:c>
      <x:c r="M4" t="n">
        <x:v>1.755556526427603</x:v>
      </x:c>
      <x:c r="N4" t="n">
        <x:v>1.738517557051615</x:v>
      </x:c>
      <x:c r="O4" t="n">
        <x:v>2.097841521108817</x:v>
      </x:c>
      <x:c r="P4" t="n">
        <x:v>2.196212125882636</x:v>
      </x:c>
    </x:row>
    <x:row r="5">
      <x:c r="A5" s="1" t="inlineStr">
        <x:is>
          <x:t xml:space="preserve">153 | Ba3Si6(NO6)2</x:t>
        </x:is>
      </x:c>
      <x:c r="B5" t="n">
        <x:v>0.3979902057799498</x:v>
      </x:c>
      <x:c r="C5" t="n">
        <x:v>0.2232337294478737</x:v>
      </x:c>
      <x:c r="D5" t="n">
        <x:v>0.7847461390608982</x:v>
      </x:c>
      <x:c r="E5" t="n">
        <x:v>0</x:v>
      </x:c>
      <x:c r="F5" t="n">
        <x:v>0.947884520196234</x:v>
      </x:c>
      <x:c r="G5" t="n">
        <x:v>0.6185699609618166</x:v>
      </x:c>
      <x:c r="H5" t="n">
        <x:v>0.6456622685777874</x:v>
      </x:c>
      <x:c r="I5" t="n">
        <x:v>1.824436422993619</x:v>
      </x:c>
      <x:c r="J5" t="n">
        <x:v>2.355389701618006</x:v>
      </x:c>
      <x:c r="K5" t="n">
        <x:v>1.466716582342643</x:v>
      </x:c>
      <x:c r="L5" t="n">
        <x:v>1.619126033444219</x:v>
      </x:c>
      <x:c r="M5" t="n">
        <x:v>1.653975247735452</x:v>
      </x:c>
      <x:c r="N5" t="n">
        <x:v>1.811721152837739</x:v>
      </x:c>
      <x:c r="O5" t="n">
        <x:v>1.758379065263055</x:v>
      </x:c>
      <x:c r="P5" t="n">
        <x:v>2.280210363194688</x:v>
      </x:c>
    </x:row>
    <x:row r="6">
      <x:c r="A6" s="1" t="inlineStr">
        <x:is>
          <x:t xml:space="preserve">157 | BaNa(B3O5)3</x:t>
        </x:is>
      </x:c>
      <x:c r="B6" t="n">
        <x:v>0.5871634687776695</x:v>
      </x:c>
      <x:c r="C6" t="n">
        <x:v>0.9491486486399571</x:v>
      </x:c>
      <x:c r="D6" t="n">
        <x:v>0.8954536202837898</x:v>
      </x:c>
      <x:c r="E6" t="n">
        <x:v>0.947884520196234</x:v>
      </x:c>
      <x:c r="F6" t="n">
        <x:v>0</x:v>
      </x:c>
      <x:c r="G6" t="n">
        <x:v>0.8892042982229289</x:v>
      </x:c>
      <x:c r="H6" t="n">
        <x:v>1.419361971058678</x:v>
      </x:c>
      <x:c r="I6" t="n">
        <x:v>1.810182926434687</x:v>
      </x:c>
      <x:c r="J6" t="n">
        <x:v>1.594730590625314</x:v>
      </x:c>
      <x:c r="K6" t="n">
        <x:v>0.914489971603789</x:v>
      </x:c>
      <x:c r="L6" t="n">
        <x:v>1.014276255626491</x:v>
      </x:c>
      <x:c r="M6" t="n">
        <x:v>0.973407263568473</x:v>
      </x:c>
      <x:c r="N6" t="n">
        <x:v>1.110719923369282</x:v>
      </x:c>
      <x:c r="O6" t="n">
        <x:v>1.413836069216557</x:v>
      </x:c>
      <x:c r="P6" t="n">
        <x:v>1.526841895214802</x:v>
      </x:c>
    </x:row>
    <x:row r="7">
      <x:c r="A7" s="1" t="inlineStr">
        <x:is>
          <x:t xml:space="preserve">180 | Ba6Y2Al4O15</x:t>
        </x:is>
      </x:c>
      <x:c r="B7" t="n">
        <x:v>0.6600986807465228</x:v>
      </x:c>
      <x:c r="C7" t="n">
        <x:v>0.4862003143201472</x:v>
      </x:c>
      <x:c r="D7" t="n">
        <x:v>0.2107301364102729</x:v>
      </x:c>
      <x:c r="E7" t="n">
        <x:v>0.6185699609618166</x:v>
      </x:c>
      <x:c r="F7" t="n">
        <x:v>0.8892042982229289</x:v>
      </x:c>
      <x:c r="G7" t="n">
        <x:v>0</x:v>
      </x:c>
      <x:c r="H7" t="n">
        <x:v>1.120115849196814</x:v>
      </x:c>
      <x:c r="I7" t="n">
        <x:v>1.798046679744251</x:v>
      </x:c>
      <x:c r="J7" t="n">
        <x:v>2.234910275413482</x:v>
      </x:c>
      <x:c r="K7" t="n">
        <x:v>1.296517168370345</x:v>
      </x:c>
      <x:c r="L7" t="n">
        <x:v>1.509144541428321</x:v>
      </x:c>
      <x:c r="M7" t="n">
        <x:v>1.698747616089456</x:v>
      </x:c>
      <x:c r="N7" t="n">
        <x:v>1.702496479278202</x:v>
      </x:c>
      <x:c r="O7" t="n">
        <x:v>1.979916858278348</x:v>
      </x:c>
      <x:c r="P7" t="n">
        <x:v>2.173926884963403</x:v>
      </x:c>
    </x:row>
    <x:row r="8">
      <x:c r="A8" s="1" t="inlineStr">
        <x:is>
          <x:t xml:space="preserve">144 | Ba2Mg(PO4)2</x:t>
        </x:is>
      </x:c>
      <x:c r="B8" t="n">
        <x:v>0.956431271009786</x:v>
      </x:c>
      <x:c r="C8" t="n">
        <x:v>0.6472130963595389</x:v>
      </x:c>
      <x:c r="D8" t="n">
        <x:v>1.324459557669524</x:v>
      </x:c>
      <x:c r="E8" t="n">
        <x:v>0.6456622685777874</x:v>
      </x:c>
      <x:c r="F8" t="n">
        <x:v>1.419361971058678</x:v>
      </x:c>
      <x:c r="G8" t="n">
        <x:v>1.120115849196814</x:v>
      </x:c>
      <x:c r="H8" t="n">
        <x:v>0</x:v>
      </x:c>
      <x:c r="I8" t="n">
        <x:v>1.597194072454664</x:v>
      </x:c>
      <x:c r="J8" t="n">
        <x:v>2.519567668021963</x:v>
      </x:c>
      <x:c r="K8" t="n">
        <x:v>1.648366790835512</x:v>
      </x:c>
      <x:c r="L8" t="n">
        <x:v>1.769166744802959</x:v>
      </x:c>
      <x:c r="M8" t="n">
        <x:v>1.815943511177813</x:v>
      </x:c>
      <x:c r="N8" t="n">
        <x:v>1.986717657289718</x:v>
      </x:c>
      <x:c r="O8" t="n">
        <x:v>1.680256654031781</x:v>
      </x:c>
      <x:c r="P8" t="n">
        <x:v>2.440742925876028</x:v>
      </x:c>
    </x:row>
    <x:row r="9">
      <x:c r="A9" s="1" t="inlineStr">
        <x:is>
          <x:t xml:space="preserve">199 | Cs2BaP2O7</x:t>
        </x:is>
      </x:c>
      <x:c r="B9" t="n">
        <x:v>1.872738798705671</x:v>
      </x:c>
      <x:c r="C9" t="n">
        <x:v>1.662848591360429</x:v>
      </x:c>
      <x:c r="D9" t="n">
        <x:v>1.941101792038422</x:v>
      </x:c>
      <x:c r="E9" t="n">
        <x:v>1.824436422993619</x:v>
      </x:c>
      <x:c r="F9" t="n">
        <x:v>1.810182926434687</x:v>
      </x:c>
      <x:c r="G9" t="n">
        <x:v>1.798046679744251</x:v>
      </x:c>
      <x:c r="H9" t="n">
        <x:v>1.597194072454664</x:v>
      </x:c>
      <x:c r="I9" t="n">
        <x:v>0</x:v>
      </x:c>
      <x:c r="J9" t="n">
        <x:v>1.699575745237924</x:v>
      </x:c>
      <x:c r="K9" t="n">
        <x:v>1.107089537050122</x:v>
      </x:c>
      <x:c r="L9" t="n">
        <x:v>1.149666807751065</x:v>
      </x:c>
      <x:c r="M9" t="n">
        <x:v>1.510480215102955</x:v>
      </x:c>
      <x:c r="N9" t="n">
        <x:v>1.350405285071359</x:v>
      </x:c>
      <x:c r="O9" t="n">
        <x:v>1.367028741272008</x:v>
      </x:c>
      <x:c r="P9" t="n">
        <x:v>1.652625532968209</x:v>
      </x:c>
    </x:row>
    <x:row r="10">
      <x:c r="A10" s="1" t="inlineStr">
        <x:is>
          <x:t xml:space="preserve">14 | K2RbNaLi12(SiO4)4</x:t>
        </x:is>
      </x:c>
      <x:c r="B10" t="n">
        <x:v>2.092864497889426</x:v>
      </x:c>
      <x:c r="C10" t="n">
        <x:v>2.278076406318152</x:v>
      </x:c>
      <x:c r="D10" t="n">
        <x:v>2.252705764879404</x:v>
      </x:c>
      <x:c r="E10" t="n">
        <x:v>2.355389701618006</x:v>
      </x:c>
      <x:c r="F10" t="n">
        <x:v>1.594730590625314</x:v>
      </x:c>
      <x:c r="G10" t="n">
        <x:v>2.234910275413482</x:v>
      </x:c>
      <x:c r="H10" t="n">
        <x:v>2.519567668021963</x:v>
      </x:c>
      <x:c r="I10" t="n">
        <x:v>1.699575745237924</x:v>
      </x:c>
      <x:c r="J10" t="n">
        <x:v>0</x:v>
      </x:c>
      <x:c r="K10" t="n">
        <x:v>0.9926958313566289</x:v>
      </x:c>
      <x:c r="L10" t="n">
        <x:v>0.7852678243709672</x:v>
      </x:c>
      <x:c r="M10" t="n">
        <x:v>0.8305693497173969</x:v>
      </x:c>
      <x:c r="N10" t="n">
        <x:v>0.5517612365962244</x:v>
      </x:c>
      <x:c r="O10" t="n">
        <x:v>1.266168066991714</x:v>
      </x:c>
      <x:c r="P10" t="n">
        <x:v>0.08662908317403571</x:v>
      </x:c>
    </x:row>
    <x:row r="11">
      <x:c r="A11" s="1" t="inlineStr">
        <x:is>
          <x:t xml:space="preserve">15 | Rb2ZrSi2O7</x:t>
        </x:is>
      </x:c>
      <x:c r="B11" t="n">
        <x:v>1.283748193624889</x:v>
      </x:c>
      <x:c r="C11" t="n">
        <x:v>1.346005550157588</x:v>
      </x:c>
      <x:c r="D11" t="n">
        <x:v>1.348595496437598</x:v>
      </x:c>
      <x:c r="E11" t="n">
        <x:v>1.466716582342643</x:v>
      </x:c>
      <x:c r="F11" t="n">
        <x:v>0.914489971603789</x:v>
      </x:c>
      <x:c r="G11" t="n">
        <x:v>1.296517168370345</x:v>
      </x:c>
      <x:c r="H11" t="n">
        <x:v>1.648366790835512</x:v>
      </x:c>
      <x:c r="I11" t="n">
        <x:v>1.107089537050122</x:v>
      </x:c>
      <x:c r="J11" t="n">
        <x:v>0.9926958313566289</x:v>
      </x:c>
      <x:c r="K11" t="n">
        <x:v>0</x:v>
      </x:c>
      <x:c r="L11" t="n">
        <x:v>0.2471631577599861</x:v>
      </x:c>
      <x:c r="M11" t="n">
        <x:v>0.7243814626277207</x:v>
      </x:c>
      <x:c r="N11" t="n">
        <x:v>0.4688041607063585</x:v>
      </x:c>
      <x:c r="O11" t="n">
        <x:v>1.133910918192217</x:v>
      </x:c>
      <x:c r="P11" t="n">
        <x:v>0.9344818047393659</x:v>
      </x:c>
    </x:row>
    <x:row r="12">
      <x:c r="A12" s="1" t="inlineStr">
        <x:is>
          <x:t xml:space="preserve">16 | Sr2LiSiO4F</x:t>
        </x:is>
      </x:c>
      <x:c r="B12" t="n">
        <x:v>1.413367969167339</x:v>
      </x:c>
      <x:c r="C12" t="n">
        <x:v>1.5190941921875</x:v>
      </x:c>
      <x:c r="D12" t="n">
        <x:v>1.563534302333936</x:v>
      </x:c>
      <x:c r="E12" t="n">
        <x:v>1.61912603344422</x:v>
      </x:c>
      <x:c r="F12" t="n">
        <x:v>1.014276255626491</x:v>
      </x:c>
      <x:c r="G12" t="n">
        <x:v>1.509144541428321</x:v>
      </x:c>
      <x:c r="H12" t="n">
        <x:v>1.769166744802959</x:v>
      </x:c>
      <x:c r="I12" t="n">
        <x:v>1.149666807751065</x:v>
      </x:c>
      <x:c r="J12" t="n">
        <x:v>0.7852678243709673</x:v>
      </x:c>
      <x:c r="K12" t="n">
        <x:v>0.2471631577599861</x:v>
      </x:c>
      <x:c r="L12" t="n">
        <x:v>0</x:v>
      </x:c>
      <x:c r="M12" t="n">
        <x:v>0.5434781399179833</x:v>
      </x:c>
      <x:c r="N12" t="n">
        <x:v>0.2524111600970471</x:v>
      </x:c>
      <x:c r="O12" t="n">
        <x:v>0.9714452293105628</x:v>
      </x:c>
      <x:c r="P12" t="n">
        <x:v>0.7191072045728091</x:v>
      </x:c>
    </x:row>
    <x:row r="13">
      <x:c r="A13" s="1" t="inlineStr">
        <x:is>
          <x:t xml:space="preserve">95 | Na3YSi2O7</x:t>
        </x:is>
      </x:c>
      <x:c r="B13" t="n">
        <x:v>1.382518924235751</x:v>
      </x:c>
      <x:c r="C13" t="n">
        <x:v>1.625078981146681</x:v>
      </x:c>
      <x:c r="D13" t="n">
        <x:v>1.755556526427603</x:v>
      </x:c>
      <x:c r="E13" t="n">
        <x:v>1.653975247735452</x:v>
      </x:c>
      <x:c r="F13" t="n">
        <x:v>0.973407263568473</x:v>
      </x:c>
      <x:c r="G13" t="n">
        <x:v>1.698747616089456</x:v>
      </x:c>
      <x:c r="H13" t="n">
        <x:v>1.815943511177813</x:v>
      </x:c>
      <x:c r="I13" t="n">
        <x:v>1.510480215102955</x:v>
      </x:c>
      <x:c r="J13" t="n">
        <x:v>0.8305693497173969</x:v>
      </x:c>
      <x:c r="K13" t="n">
        <x:v>0.7243814626277207</x:v>
      </x:c>
      <x:c r="L13" t="n">
        <x:v>0.5434781399179833</x:v>
      </x:c>
      <x:c r="M13" t="n">
        <x:v>0</x:v>
      </x:c>
      <x:c r="N13" t="n">
        <x:v>0.479141866608592</x:v>
      </x:c>
      <x:c r="O13" t="n">
        <x:v>0.6808725142337986</x:v>
      </x:c>
      <x:c r="P13" t="n">
        <x:v>0.7452623635713574</x:v>
      </x:c>
    </x:row>
    <x:row r="14">
      <x:c r="A14" s="1" t="inlineStr">
        <x:is>
          <x:t xml:space="preserve">171 | BaLi2SiO4</x:t>
        </x:is>
      </x:c>
      <x:c r="B14" t="n">
        <x:v>1.569274365001295</x:v>
      </x:c>
      <x:c r="C14" t="n">
        <x:v>1.72785403145714</x:v>
      </x:c>
      <x:c r="D14" t="n">
        <x:v>1.738517557051615</x:v>
      </x:c>
      <x:c r="E14" t="n">
        <x:v>1.811721152837739</x:v>
      </x:c>
      <x:c r="F14" t="n">
        <x:v>1.110719923369282</x:v>
      </x:c>
      <x:c r="G14" t="n">
        <x:v>1.702496479278202</x:v>
      </x:c>
      <x:c r="H14" t="n">
        <x:v>1.986717657289719</x:v>
      </x:c>
      <x:c r="I14" t="n">
        <x:v>1.350405285071359</x:v>
      </x:c>
      <x:c r="J14" t="n">
        <x:v>0.5517612365962244</x:v>
      </x:c>
      <x:c r="K14" t="n">
        <x:v>0.4688041607063584</x:v>
      </x:c>
      <x:c r="L14" t="n">
        <x:v>0.2524111600970471</x:v>
      </x:c>
      <x:c r="M14" t="n">
        <x:v>0.479141866608592</x:v>
      </x:c>
      <x:c r="N14" t="n">
        <x:v>0</x:v>
      </x:c>
      <x:c r="O14" t="n">
        <x:v>1.000075104602925</x:v>
      </x:c>
      <x:c r="P14" t="n">
        <x:v>0.4826733751392916</x:v>
      </x:c>
    </x:row>
    <x:row r="15">
      <x:c r="A15" s="1" t="inlineStr">
        <x:is>
          <x:t xml:space="preserve">261 | NaCaPO4</x:t>
        </x:is>
      </x:c>
      <x:c r="B15" t="n">
        <x:v>1.597758700391767</x:v>
      </x:c>
      <x:c r="C15" t="n">
        <x:v>1.744816985719032</x:v>
      </x:c>
      <x:c r="D15" t="n">
        <x:v>2.097841521108817</x:v>
      </x:c>
      <x:c r="E15" t="n">
        <x:v>1.758379065263055</x:v>
      </x:c>
      <x:c r="F15" t="n">
        <x:v>1.413836069216557</x:v>
      </x:c>
      <x:c r="G15" t="n">
        <x:v>1.979916858278348</x:v>
      </x:c>
      <x:c r="H15" t="n">
        <x:v>1.680256654031781</x:v>
      </x:c>
      <x:c r="I15" t="n">
        <x:v>1.367028741272008</x:v>
      </x:c>
      <x:c r="J15" t="n">
        <x:v>1.266168066991714</x:v>
      </x:c>
      <x:c r="K15" t="n">
        <x:v>1.133910918192217</x:v>
      </x:c>
      <x:c r="L15" t="n">
        <x:v>0.9714452293105628</x:v>
      </x:c>
      <x:c r="M15" t="n">
        <x:v>0.6808725142337986</x:v>
      </x:c>
      <x:c r="N15" t="n">
        <x:v>1.000075104602925</x:v>
      </x:c>
      <x:c r="O15" t="n">
        <x:v>0</x:v>
      </x:c>
      <x:c r="P15" t="n">
        <x:v>1.185555213873107</x:v>
      </x:c>
    </x:row>
    <x:row r="16">
      <x:c r="A16" s="1" t="inlineStr">
        <x:is>
          <x:t xml:space="preserve">283 | RbLi7(SiO4)2</x:t>
        </x:is>
      </x:c>
      <x:c r="B16" t="n">
        <x:v>2.018281290356302</x:v>
      </x:c>
      <x:c r="C16" t="n">
        <x:v>2.205905098281971</x:v>
      </x:c>
      <x:c r="D16" t="n">
        <x:v>2.196212125882636</x:v>
      </x:c>
      <x:c r="E16" t="n">
        <x:v>2.280210363194688</x:v>
      </x:c>
      <x:c r="F16" t="n">
        <x:v>1.526841895214802</x:v>
      </x:c>
      <x:c r="G16" t="n">
        <x:v>2.173926884963403</x:v>
      </x:c>
      <x:c r="H16" t="n">
        <x:v>2.440742925876028</x:v>
      </x:c>
      <x:c r="I16" t="n">
        <x:v>1.652625532968209</x:v>
      </x:c>
      <x:c r="J16" t="n">
        <x:v>0.08662908317403571</x:v>
      </x:c>
      <x:c r="K16" t="n">
        <x:v>0.9344818047393659</x:v>
      </x:c>
      <x:c r="L16" t="n">
        <x:v>0.719107204572809</x:v>
      </x:c>
      <x:c r="M16" t="n">
        <x:v>0.7452623635713574</x:v>
      </x:c>
      <x:c r="N16" t="n">
        <x:v>0.4826733751392916</x:v>
      </x:c>
      <x:c r="O16" t="n">
        <x:v>1.185555213873107</x:v>
      </x:c>
      <x:c r="P16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17 | SrAl2O4</x:t>
        </x:is>
      </x:c>
      <x:c r="C1" s="1" t="inlineStr">
        <x:is>
          <x:t xml:space="preserve">111 | Ba2MgSi2O7</x:t>
        </x:is>
      </x:c>
      <x:c r="D1" s="1" t="inlineStr">
        <x:is>
          <x:t xml:space="preserve">142 | Ba2Ca(BO3)2</x:t>
        </x:is>
      </x:c>
      <x:c r="E1" s="1" t="inlineStr">
        <x:is>
          <x:t xml:space="preserve">153 | Ba3Si6(NO6)2</x:t>
        </x:is>
      </x:c>
      <x:c r="F1" s="1" t="inlineStr">
        <x:is>
          <x:t xml:space="preserve">157 | BaNa(B3O5)3</x:t>
        </x:is>
      </x:c>
      <x:c r="G1" s="1" t="inlineStr">
        <x:is>
          <x:t xml:space="preserve">180 | Ba6Y2Al4O15</x:t>
        </x:is>
      </x:c>
      <x:c r="H1" s="1" t="inlineStr">
        <x:is>
          <x:t xml:space="preserve">144 | Ba2Mg(PO4)2</x:t>
        </x:is>
      </x:c>
      <x:c r="I1" s="1" t="inlineStr">
        <x:is>
          <x:t xml:space="preserve">199 | Cs2BaP2O7</x:t>
        </x:is>
      </x:c>
      <x:c r="J1" s="1" t="inlineStr">
        <x:is>
          <x:t xml:space="preserve">14 | K2RbNaLi12(SiO4)4</x:t>
        </x:is>
      </x:c>
      <x:c r="K1" s="1" t="inlineStr">
        <x:is>
          <x:t xml:space="preserve">15 | Rb2ZrSi2O7</x:t>
        </x:is>
      </x:c>
      <x:c r="L1" s="1" t="inlineStr">
        <x:is>
          <x:t xml:space="preserve">16 | Sr2LiSiO4F</x:t>
        </x:is>
      </x:c>
      <x:c r="M1" s="1" t="inlineStr">
        <x:is>
          <x:t xml:space="preserve">95 | Na3YSi2O7</x:t>
        </x:is>
      </x:c>
      <x:c r="N1" s="1" t="inlineStr">
        <x:is>
          <x:t xml:space="preserve">171 | BaLi2SiO4</x:t>
        </x:is>
      </x:c>
      <x:c r="O1" s="1" t="inlineStr">
        <x:is>
          <x:t xml:space="preserve">261 | NaCaPO4</x:t>
        </x:is>
      </x:c>
      <x:c r="P1" s="1" t="inlineStr">
        <x:is>
          <x:t xml:space="preserve">283 | RbLi7(SiO4)2</x:t>
        </x:is>
      </x:c>
    </x:row>
    <x:row r="2">
      <x:c r="A2" s="1" t="inlineStr">
        <x:is>
          <x:t xml:space="preserve">17 | SrAl2O4</x:t>
        </x:is>
      </x:c>
      <x:c r="B2" t="n">
        <x:v>0</x:v>
      </x:c>
      <x:c r="C2" t="n">
        <x:v>0.1971920899646644</x:v>
      </x:c>
      <x:c r="D2" t="n">
        <x:v>0.2999397454285013</x:v>
      </x:c>
      <x:c r="E2" t="n">
        <x:v>0.157959720959747</x:v>
      </x:c>
      <x:c r="F2" t="n">
        <x:v>0.2330413571462575</x:v>
      </x:c>
      <x:c r="G2" t="n">
        <x:v>0.2619888678222111</x:v>
      </x:c>
      <x:c r="H2" t="n">
        <x:v>0.3796013431783126</x:v>
      </x:c>
      <x:c r="I2" t="n">
        <x:v>0.7432778339213657</x:v>
      </x:c>
      <x:c r="J2" t="n">
        <x:v>0.8306442904676862</x:v>
      </x:c>
      <x:c r="K2" t="n">
        <x:v>0.509511298274724</x:v>
      </x:c>
      <x:c r="L2" t="n">
        <x:v>0.5609565431028617</x:v>
      </x:c>
      <x:c r="M2" t="n">
        <x:v>0.5487127580586573</x:v>
      </x:c>
      <x:c r="N2" t="n">
        <x:v>0.6228347763460885</x:v>
      </x:c>
      <x:c r="O2" t="n">
        <x:v>0.6341400235724248</x:v>
      </x:c>
      <x:c r="P2" t="n">
        <x:v>0.8010427010840293</x:v>
      </x:c>
    </x:row>
    <x:row r="3">
      <x:c r="A3" s="1" t="inlineStr">
        <x:is>
          <x:t xml:space="preserve">111 | Ba2MgSi2O7</x:t>
        </x:is>
      </x:c>
      <x:c r="B3" t="n">
        <x:v>0.1971920899646644</x:v>
      </x:c>
      <x:c r="C3" t="n">
        <x:v>0</x:v>
      </x:c>
      <x:c r="D3" t="n">
        <x:v>0.2711011982771876</x:v>
      </x:c>
      <x:c r="E3" t="n">
        <x:v>0.0886000135186398</x:v>
      </x:c>
      <x:c r="F3" t="n">
        <x:v>0.3767109177842027</x:v>
      </x:c>
      <x:c r="G3" t="n">
        <x:v>0.1929697386146602</x:v>
      </x:c>
      <x:c r="H3" t="n">
        <x:v>0.2568746632900106</x:v>
      </x:c>
      <x:c r="I3" t="n">
        <x:v>0.6599737774321741</x:v>
      </x:c>
      <x:c r="J3" t="n">
        <x:v>0.9041536908221248</x:v>
      </x:c>
      <x:c r="K3" t="n">
        <x:v>0.5342208376623189</x:v>
      </x:c>
      <x:c r="L3" t="n">
        <x:v>0.6029185925298426</x:v>
      </x:c>
      <x:c r="M3" t="n">
        <x:v>0.644983265094238</x:v>
      </x:c>
      <x:c r="N3" t="n">
        <x:v>0.6857740132907905</x:v>
      </x:c>
      <x:c r="O3" t="n">
        <x:v>0.692506499374488</x:v>
      </x:c>
      <x:c r="P3" t="n">
        <x:v>0.8755093686425023</x:v>
      </x:c>
    </x:row>
    <x:row r="4">
      <x:c r="A4" s="1" t="inlineStr">
        <x:is>
          <x:t xml:space="preserve">142 | Ba2Ca(BO3)2</x:t>
        </x:is>
      </x:c>
      <x:c r="B4" t="n">
        <x:v>0.2999397454285013</x:v>
      </x:c>
      <x:c r="C4" t="n">
        <x:v>0.2711011982771876</x:v>
      </x:c>
      <x:c r="D4" t="n">
        <x:v>0</x:v>
      </x:c>
      <x:c r="E4" t="n">
        <x:v>0.311460632322282</x:v>
      </x:c>
      <x:c r="F4" t="n">
        <x:v>0.3553997106919473</x:v>
      </x:c>
      <x:c r="G4" t="n">
        <x:v>0.08363741886547972</x:v>
      </x:c>
      <x:c r="H4" t="n">
        <x:v>0.5256693735514225</x:v>
      </x:c>
      <x:c r="I4" t="n">
        <x:v>0.7704106607949621</x:v>
      </x:c>
      <x:c r="J4" t="n">
        <x:v>0.8940842484488362</x:v>
      </x:c>
      <x:c r="K4" t="n">
        <x:v>0.5352487704751109</x:v>
      </x:c>
      <x:c r="L4" t="n">
        <x:v>0.6205565828527321</x:v>
      </x:c>
      <x:c r="M4" t="n">
        <x:v>0.6967689531457745</x:v>
      </x:c>
      <x:c r="N4" t="n">
        <x:v>0.690006297158303</x:v>
      </x:c>
      <x:c r="O4" t="n">
        <x:v>0.832619638573061</x:v>
      </x:c>
      <x:c r="P4" t="n">
        <x:v>0.8716622910178936</x:v>
      </x:c>
    </x:row>
    <x:row r="5">
      <x:c r="A5" s="1" t="inlineStr">
        <x:is>
          <x:t xml:space="preserve">153 | Ba3Si6(NO6)2</x:t>
        </x:is>
      </x:c>
      <x:c r="B5" t="n">
        <x:v>0.157959720959747</x:v>
      </x:c>
      <x:c r="C5" t="n">
        <x:v>0.0886000135186398</x:v>
      </x:c>
      <x:c r="D5" t="n">
        <x:v>0.311460632322282</x:v>
      </x:c>
      <x:c r="E5" t="n">
        <x:v>0</x:v>
      </x:c>
      <x:c r="F5" t="n">
        <x:v>0.3762091934369001</x:v>
      </x:c>
      <x:c r="G5" t="n">
        <x:v>0.2455063893749031</x:v>
      </x:c>
      <x:c r="H5" t="n">
        <x:v>0.2562591498424321</x:v>
      </x:c>
      <x:c r="I5" t="n">
        <x:v>0.7241069355465769</x:v>
      </x:c>
      <x:c r="J5" t="n">
        <x:v>0.9348388342620508</x:v>
      </x:c>
      <x:c r="K5" t="n">
        <x:v>0.58213026026569</x:v>
      </x:c>
      <x:c r="L5" t="n">
        <x:v>0.6426205789167578</x:v>
      </x:c>
      <x:c r="M5" t="n">
        <x:v>0.6564520051306811</x:v>
      </x:c>
      <x:c r="N5" t="n">
        <x:v>0.7190603276236145</x:v>
      </x:c>
      <x:c r="O5" t="n">
        <x:v>0.6978892004291775</x:v>
      </x:c>
      <x:c r="P5" t="n">
        <x:v>0.9050006444100833</x:v>
      </x:c>
    </x:row>
    <x:row r="6">
      <x:c r="A6" s="1" t="inlineStr">
        <x:is>
          <x:t xml:space="preserve">157 | BaNa(B3O5)3</x:t>
        </x:is>
      </x:c>
      <x:c r="B6" t="n">
        <x:v>0.2330413571462575</x:v>
      </x:c>
      <x:c r="C6" t="n">
        <x:v>0.3767109177842027</x:v>
      </x:c>
      <x:c r="D6" t="n">
        <x:v>0.3553997106919473</x:v>
      </x:c>
      <x:c r="E6" t="n">
        <x:v>0.3762091934369001</x:v>
      </x:c>
      <x:c r="F6" t="n">
        <x:v>0</x:v>
      </x:c>
      <x:c r="G6" t="n">
        <x:v>0.3529193954616097</x:v>
      </x:c>
      <x:c r="H6" t="n">
        <x:v>0.5633355234205621</x:v>
      </x:c>
      <x:c r="I6" t="n">
        <x:v>0.7184498155811817</x:v>
      </x:c>
      <x:c r="J6" t="n">
        <x:v>0.6329381865251864</x:v>
      </x:c>
      <x:c r="K6" t="n">
        <x:v>0.3629551145660349</x:v>
      </x:c>
      <x:c r="L6" t="n">
        <x:v>0.4025596408858386</x:v>
      </x:c>
      <x:c r="M6" t="n">
        <x:v>0.3863390040771026</x:v>
      </x:c>
      <x:c r="N6" t="n">
        <x:v>0.4408375045712802</x:v>
      </x:c>
      <x:c r="O6" t="n">
        <x:v>0.5611423289641265</x:v>
      </x:c>
      <x:c r="P6" t="n">
        <x:v>0.6059936054082962</x:v>
      </x:c>
    </x:row>
    <x:row r="7">
      <x:c r="A7" s="1" t="inlineStr">
        <x:is>
          <x:t xml:space="preserve">180 | Ba6Y2Al4O15</x:t>
        </x:is>
      </x:c>
      <x:c r="B7" t="n">
        <x:v>0.2619888678222111</x:v>
      </x:c>
      <x:c r="C7" t="n">
        <x:v>0.1929697386146602</x:v>
      </x:c>
      <x:c r="D7" t="n">
        <x:v>0.08363741886547972</x:v>
      </x:c>
      <x:c r="E7" t="n">
        <x:v>0.2455063893749031</x:v>
      </x:c>
      <x:c r="F7" t="n">
        <x:v>0.3529193954616097</x:v>
      </x:c>
      <x:c r="G7" t="n">
        <x:v>0</x:v>
      </x:c>
      <x:c r="H7" t="n">
        <x:v>0.4445666863459094</x:v>
      </x:c>
      <x:c r="I7" t="n">
        <x:v>0.7136330183010499</x:v>
      </x:c>
      <x:c r="J7" t="n">
        <x:v>0.887021334564133</x:v>
      </x:c>
      <x:c r="K7" t="n">
        <x:v>0.5145792211995647</x:v>
      </x:c>
      <x:c r="L7" t="n">
        <x:v>0.5989696409357026</x:v>
      </x:c>
      <x:c r="M7" t="n">
        <x:v>0.6742218665724871</x:v>
      </x:c>
      <x:c r="N7" t="n">
        <x:v>0.6757097659594834</x:v>
      </x:c>
      <x:c r="O7" t="n">
        <x:v>0.7858161078216731</x:v>
      </x:c>
      <x:c r="P7" t="n">
        <x:v>0.8628174240186562</x:v>
      </x:c>
    </x:row>
    <x:row r="8">
      <x:c r="A8" s="1" t="inlineStr">
        <x:is>
          <x:t xml:space="preserve">144 | Ba2Mg(PO4)2</x:t>
        </x:is>
      </x:c>
      <x:c r="B8" t="n">
        <x:v>0.3796013431783126</x:v>
      </x:c>
      <x:c r="C8" t="n">
        <x:v>0.2568746632900106</x:v>
      </x:c>
      <x:c r="D8" t="n">
        <x:v>0.5256693735514225</x:v>
      </x:c>
      <x:c r="E8" t="n">
        <x:v>0.2562591498424321</x:v>
      </x:c>
      <x:c r="F8" t="n">
        <x:v>0.5633355234205621</x:v>
      </x:c>
      <x:c r="G8" t="n">
        <x:v>0.4445666863459094</x:v>
      </x:c>
      <x:c r="H8" t="n">
        <x:v>0</x:v>
      </x:c>
      <x:c r="I8" t="n">
        <x:v>0.6339159264210489</x:v>
      </x:c>
      <x:c r="J8" t="n">
        <x:v>1</x:v>
      </x:c>
      <x:c r="K8" t="n">
        <x:v>0.6542260451093959</x:v>
      </x:c>
      <x:c r="L8" t="n">
        <x:v>0.7021707601891396</x:v>
      </x:c>
      <x:c r="M8" t="n">
        <x:v>0.7207361541527699</x:v>
      </x:c>
      <x:c r="N8" t="n">
        <x:v>0.788515300662447</x:v>
      </x:c>
      <x:c r="O8" t="n">
        <x:v>0.6668829241450379</x:v>
      </x:c>
      <x:c r="P8" t="n">
        <x:v>0.9687149731494143</x:v>
      </x:c>
    </x:row>
    <x:row r="9">
      <x:c r="A9" s="1" t="inlineStr">
        <x:is>
          <x:t xml:space="preserve">199 | Cs2BaP2O7</x:t>
        </x:is>
      </x:c>
      <x:c r="B9" t="n">
        <x:v>0.7432778339213657</x:v>
      </x:c>
      <x:c r="C9" t="n">
        <x:v>0.6599737774321741</x:v>
      </x:c>
      <x:c r="D9" t="n">
        <x:v>0.7704106607949621</x:v>
      </x:c>
      <x:c r="E9" t="n">
        <x:v>0.7241069355465769</x:v>
      </x:c>
      <x:c r="F9" t="n">
        <x:v>0.7184498155811817</x:v>
      </x:c>
      <x:c r="G9" t="n">
        <x:v>0.7136330183010499</x:v>
      </x:c>
      <x:c r="H9" t="n">
        <x:v>0.6339159264210489</x:v>
      </x:c>
      <x:c r="I9" t="n">
        <x:v>0</x:v>
      </x:c>
      <x:c r="J9" t="n">
        <x:v>0.6745505456387325</x:v>
      </x:c>
      <x:c r="K9" t="n">
        <x:v>0.4393966278823005</x:v>
      </x:c>
      <x:c r="L9" t="n">
        <x:v>0.4562952693600937</x:v>
      </x:c>
      <x:c r="M9" t="n">
        <x:v>0.5994997611192509</x:v>
      </x:c>
      <x:c r="N9" t="n">
        <x:v>0.5359670637984977</x:v>
      </x:c>
      <x:c r="O9" t="n">
        <x:v>0.5425648053125007</x:v>
      </x:c>
      <x:c r="P9" t="n">
        <x:v>0.655916312128912</x:v>
      </x:c>
    </x:row>
    <x:row r="10">
      <x:c r="A10" s="1" t="inlineStr">
        <x:is>
          <x:t xml:space="preserve">14 | K2RbNaLi12(SiO4)4</x:t>
        </x:is>
      </x:c>
      <x:c r="B10" t="n">
        <x:v>0.8306442904676862</x:v>
      </x:c>
      <x:c r="C10" t="n">
        <x:v>0.9041536908221248</x:v>
      </x:c>
      <x:c r="D10" t="n">
        <x:v>0.8940842484488362</x:v>
      </x:c>
      <x:c r="E10" t="n">
        <x:v>0.9348388342620508</x:v>
      </x:c>
      <x:c r="F10" t="n">
        <x:v>0.6329381865251864</x:v>
      </x:c>
      <x:c r="G10" t="n">
        <x:v>0.887021334564133</x:v>
      </x:c>
      <x:c r="H10" t="n">
        <x:v>1</x:v>
      </x:c>
      <x:c r="I10" t="n">
        <x:v>0.6745505456387325</x:v>
      </x:c>
      <x:c r="J10" t="n">
        <x:v>0</x:v>
      </x:c>
      <x:c r="K10" t="n">
        <x:v>0.3939945110249667</x:v>
      </x:c>
      <x:c r="L10" t="n">
        <x:v>0.3116676858246309</x:v>
      </x:c>
      <x:c r="M10" t="n">
        <x:v>0.3296475662308574</x:v>
      </x:c>
      <x:c r="N10" t="n">
        <x:v>0.2189904417329643</x:v>
      </x:c>
      <x:c r="O10" t="n">
        <x:v>0.5025338604958939</x:v>
      </x:c>
      <x:c r="P10" t="n">
        <x:v>0.03438251898272913</x:v>
      </x:c>
    </x:row>
    <x:row r="11">
      <x:c r="A11" s="1" t="inlineStr">
        <x:is>
          <x:t xml:space="preserve">15 | Rb2ZrSi2O7</x:t>
        </x:is>
      </x:c>
      <x:c r="B11" t="n">
        <x:v>0.509511298274724</x:v>
      </x:c>
      <x:c r="C11" t="n">
        <x:v>0.5342208376623189</x:v>
      </x:c>
      <x:c r="D11" t="n">
        <x:v>0.5352487704751109</x:v>
      </x:c>
      <x:c r="E11" t="n">
        <x:v>0.58213026026569</x:v>
      </x:c>
      <x:c r="F11" t="n">
        <x:v>0.3629551145660349</x:v>
      </x:c>
      <x:c r="G11" t="n">
        <x:v>0.5145792211995647</x:v>
      </x:c>
      <x:c r="H11" t="n">
        <x:v>0.6542260451093959</x:v>
      </x:c>
      <x:c r="I11" t="n">
        <x:v>0.4393966278823005</x:v>
      </x:c>
      <x:c r="J11" t="n">
        <x:v>0.3939945110249667</x:v>
      </x:c>
      <x:c r="K11" t="n">
        <x:v>0</x:v>
      </x:c>
      <x:c r="L11" t="n">
        <x:v>0.09809744778715408</x:v>
      </x:c>
      <x:c r="M11" t="n">
        <x:v>0.2875022853410446</x:v>
      </x:c>
      <x:c r="N11" t="n">
        <x:v>0.1860653185291914</x:v>
      </x:c>
      <x:c r="O11" t="n">
        <x:v>0.4500418593966227</x:v>
      </x:c>
      <x:c r="P11" t="n">
        <x:v>0.3708897429506228</x:v>
      </x:c>
    </x:row>
    <x:row r="12">
      <x:c r="A12" s="1" t="inlineStr">
        <x:is>
          <x:t xml:space="preserve">16 | Sr2LiSiO4F</x:t>
        </x:is>
      </x:c>
      <x:c r="B12" t="n">
        <x:v>0.5609565431028617</x:v>
      </x:c>
      <x:c r="C12" t="n">
        <x:v>0.6029185925298426</x:v>
      </x:c>
      <x:c r="D12" t="n">
        <x:v>0.6205565828527321</x:v>
      </x:c>
      <x:c r="E12" t="n">
        <x:v>0.6426205789167579</x:v>
      </x:c>
      <x:c r="F12" t="n">
        <x:v>0.4025596408858386</x:v>
      </x:c>
      <x:c r="G12" t="n">
        <x:v>0.5989696409357027</x:v>
      </x:c>
      <x:c r="H12" t="n">
        <x:v>0.7021707601891396</x:v>
      </x:c>
      <x:c r="I12" t="n">
        <x:v>0.4562952693600937</x:v>
      </x:c>
      <x:c r="J12" t="n">
        <x:v>0.311667685824631</x:v>
      </x:c>
      <x:c r="K12" t="n">
        <x:v>0.09809744778715408</x:v>
      </x:c>
      <x:c r="L12" t="n">
        <x:v>0</x:v>
      </x:c>
      <x:c r="M12" t="n">
        <x:v>0.2157029346009396</x:v>
      </x:c>
      <x:c r="N12" t="n">
        <x:v>0.1001803457397147</x:v>
      </x:c>
      <x:c r="O12" t="n">
        <x:v>0.3855602854569155</x:v>
      </x:c>
      <x:c r="P12" t="n">
        <x:v>0.2854089666650464</x:v>
      </x:c>
    </x:row>
    <x:row r="13">
      <x:c r="A13" s="1" t="inlineStr">
        <x:is>
          <x:t xml:space="preserve">95 | Na3YSi2O7</x:t>
        </x:is>
      </x:c>
      <x:c r="B13" t="n">
        <x:v>0.5487127580586573</x:v>
      </x:c>
      <x:c r="C13" t="n">
        <x:v>0.644983265094238</x:v>
      </x:c>
      <x:c r="D13" t="n">
        <x:v>0.6967689531457745</x:v>
      </x:c>
      <x:c r="E13" t="n">
        <x:v>0.6564520051306811</x:v>
      </x:c>
      <x:c r="F13" t="n">
        <x:v>0.3863390040771026</x:v>
      </x:c>
      <x:c r="G13" t="n">
        <x:v>0.6742218665724869</x:v>
      </x:c>
      <x:c r="H13" t="n">
        <x:v>0.7207361541527699</x:v>
      </x:c>
      <x:c r="I13" t="n">
        <x:v>0.5994997611192509</x:v>
      </x:c>
      <x:c r="J13" t="n">
        <x:v>0.3296475662308574</x:v>
      </x:c>
      <x:c r="K13" t="n">
        <x:v>0.2875022853410446</x:v>
      </x:c>
      <x:c r="L13" t="n">
        <x:v>0.2157029346009396</x:v>
      </x:c>
      <x:c r="M13" t="n">
        <x:v>0</x:v>
      </x:c>
      <x:c r="N13" t="n">
        <x:v>0.1901682866825926</x:v>
      </x:c>
      <x:c r="O13" t="n">
        <x:v>0.2702338670539979</x:v>
      </x:c>
      <x:c r="P13" t="n">
        <x:v>0.2957897789490371</x:v>
      </x:c>
    </x:row>
    <x:row r="14">
      <x:c r="A14" s="1" t="inlineStr">
        <x:is>
          <x:t xml:space="preserve">171 | BaLi2SiO4</x:t>
        </x:is>
      </x:c>
      <x:c r="B14" t="n">
        <x:v>0.6228347763460885</x:v>
      </x:c>
      <x:c r="C14" t="n">
        <x:v>0.6857740132907905</x:v>
      </x:c>
      <x:c r="D14" t="n">
        <x:v>0.6900062971583029</x:v>
      </x:c>
      <x:c r="E14" t="n">
        <x:v>0.7190603276236145</x:v>
      </x:c>
      <x:c r="F14" t="n">
        <x:v>0.4408375045712802</x:v>
      </x:c>
      <x:c r="G14" t="n">
        <x:v>0.6757097659594834</x:v>
      </x:c>
      <x:c r="H14" t="n">
        <x:v>0.788515300662447</x:v>
      </x:c>
      <x:c r="I14" t="n">
        <x:v>0.5359670637984977</x:v>
      </x:c>
      <x:c r="J14" t="n">
        <x:v>0.2189904417329643</x:v>
      </x:c>
      <x:c r="K14" t="n">
        <x:v>0.1860653185291914</x:v>
      </x:c>
      <x:c r="L14" t="n">
        <x:v>0.1001803457397147</x:v>
      </x:c>
      <x:c r="M14" t="n">
        <x:v>0.1901682866825926</x:v>
      </x:c>
      <x:c r="N14" t="n">
        <x:v>0</x:v>
      </x:c>
      <x:c r="O14" t="n">
        <x:v>0.3969232965225556</x:v>
      </x:c>
      <x:c r="P14" t="n">
        <x:v>0.1915699194212252</x:v>
      </x:c>
    </x:row>
    <x:row r="15">
      <x:c r="A15" s="1" t="inlineStr">
        <x:is>
          <x:t xml:space="preserve">261 | NaCaPO4</x:t>
        </x:is>
      </x:c>
      <x:c r="B15" t="n">
        <x:v>0.6341400235724247</x:v>
      </x:c>
      <x:c r="C15" t="n">
        <x:v>0.692506499374488</x:v>
      </x:c>
      <x:c r="D15" t="n">
        <x:v>0.832619638573061</x:v>
      </x:c>
      <x:c r="E15" t="n">
        <x:v>0.6978892004291775</x:v>
      </x:c>
      <x:c r="F15" t="n">
        <x:v>0.5611423289641265</x:v>
      </x:c>
      <x:c r="G15" t="n">
        <x:v>0.7858161078216731</x:v>
      </x:c>
      <x:c r="H15" t="n">
        <x:v>0.6668829241450379</x:v>
      </x:c>
      <x:c r="I15" t="n">
        <x:v>0.5425648053125007</x:v>
      </x:c>
      <x:c r="J15" t="n">
        <x:v>0.5025338604958939</x:v>
      </x:c>
      <x:c r="K15" t="n">
        <x:v>0.4500418593966227</x:v>
      </x:c>
      <x:c r="L15" t="n">
        <x:v>0.3855602854569155</x:v>
      </x:c>
      <x:c r="M15" t="n">
        <x:v>0.2702338670539979</x:v>
      </x:c>
      <x:c r="N15" t="n">
        <x:v>0.3969232965225556</x:v>
      </x:c>
      <x:c r="O15" t="n">
        <x:v>0</x:v>
      </x:c>
      <x:c r="P15" t="n">
        <x:v>0.4705391440444427</x:v>
      </x:c>
    </x:row>
    <x:row r="16">
      <x:c r="A16" s="1" t="inlineStr">
        <x:is>
          <x:t xml:space="preserve">283 | RbLi7(SiO4)2</x:t>
        </x:is>
      </x:c>
      <x:c r="B16" t="n">
        <x:v>0.8010427010840293</x:v>
      </x:c>
      <x:c r="C16" t="n">
        <x:v>0.8755093686425023</x:v>
      </x:c>
      <x:c r="D16" t="n">
        <x:v>0.8716622910178936</x:v>
      </x:c>
      <x:c r="E16" t="n">
        <x:v>0.9050006444100833</x:v>
      </x:c>
      <x:c r="F16" t="n">
        <x:v>0.6059936054082962</x:v>
      </x:c>
      <x:c r="G16" t="n">
        <x:v>0.8628174240186562</x:v>
      </x:c>
      <x:c r="H16" t="n">
        <x:v>0.9687149731494143</x:v>
      </x:c>
      <x:c r="I16" t="n">
        <x:v>0.655916312128912</x:v>
      </x:c>
      <x:c r="J16" t="n">
        <x:v>0.03438251898272913</x:v>
      </x:c>
      <x:c r="K16" t="n">
        <x:v>0.3708897429506228</x:v>
      </x:c>
      <x:c r="L16" t="n">
        <x:v>0.2854089666650463</x:v>
      </x:c>
      <x:c r="M16" t="n">
        <x:v>0.2957897789490371</x:v>
      </x:c>
      <x:c r="N16" t="n">
        <x:v>0.1915699194212252</x:v>
      </x:c>
      <x:c r="O16" t="n">
        <x:v>0.4705391440444427</x:v>
      </x:c>
      <x:c r="P16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Number_of_benchmarks</x:t>
        </x:is>
      </x:c>
      <x:c r="B2" t="n">
        <x:v>15</x:v>
      </x:c>
    </x:row>
    <x:row r="3">
      <x:c r="A3" t="inlineStr">
        <x:is>
          <x:t xml:space="preserve">Number_of_unique_pairs</x:t>
        </x:is>
      </x:c>
      <x:c r="B3" t="n">
        <x:v>105</x:v>
      </x:c>
    </x:row>
    <x:row r="4">
      <x:c r="A4" t="inlineStr">
        <x:is>
          <x:t xml:space="preserve">Maximum_raw_distance</x:t>
        </x:is>
      </x:c>
      <x:c r="B4" t="n">
        <x:v>2.519567668021963</x:v>
      </x:c>
    </x:row>
    <x:row r="5">
      <x:c r="A5" t="inlineStr">
        <x:is>
          <x:t xml:space="preserve">Mean_raw_distance_all_pairs</x:t>
        </x:is>
      </x:c>
      <x:c r="B5" t="n">
        <x:v>1.312689613693164</x:v>
      </x:c>
    </x:row>
    <x:row r="6">
      <x:c r="A6" t="inlineStr">
        <x:is>
          <x:t xml:space="preserve">Median_raw_distance_all_pairs</x:t>
        </x:is>
      </x:c>
      <x:c r="B6" t="n">
        <x:v>1.367028741272008</x:v>
      </x:c>
    </x:row>
    <x:row r="7">
      <x:c r="A7" t="inlineStr">
        <x:is>
          <x:t xml:space="preserve">Mean_raw_distance_same_cluster</x:t>
        </x:is>
      </x:c>
      <x:c r="B7" t="n">
        <x:v>0.6852192751152889</x:v>
      </x:c>
    </x:row>
    <x:row r="8">
      <x:c r="A8" t="inlineStr">
        <x:is>
          <x:t xml:space="preserve">Median_raw_distance_same_cluster</x:t>
        </x:is>
      </x:c>
      <x:c r="B8" t="n">
        <x:v>0.7010825092570112</x:v>
      </x:c>
    </x:row>
    <x:row r="9">
      <x:c r="A9" t="inlineStr">
        <x:is>
          <x:t xml:space="preserve">Mean_raw_distance_different_cluster</x:t>
        </x:is>
      </x:c>
      <x:c r="B9" t="n">
        <x:v>1.640065442516403</x:v>
      </x:c>
    </x:row>
    <x:row r="10">
      <x:c r="A10" t="inlineStr">
        <x:is>
          <x:t xml:space="preserve">Median_raw_distance_different_cluster</x:t>
        </x:is>
      </x:c>
      <x:c r="B10" t="n">
        <x:v>1.652625532968209</x:v>
      </x:c>
    </x:row>
    <x:row r="11">
      <x:c r="A11" t="inlineStr">
        <x:is>
          <x:t xml:space="preserve">Mean_normalized_distance_all_pairs</x:t>
        </x:is>
      </x:c>
      <x:c r="B11" t="n">
        <x:v>0.5209979594331424</x:v>
      </x:c>
    </x:row>
    <x:row r="12">
      <x:c r="A12" t="inlineStr">
        <x:is>
          <x:t xml:space="preserve">Median_normalized_distance_all_pairs</x:t>
        </x:is>
      </x:c>
      <x:c r="B12" t="n">
        <x:v>0.5425648053125007</x:v>
      </x:c>
    </x:row>
    <x:row r="13">
      <x:c r="A13" t="inlineStr">
        <x:is>
          <x:t xml:space="preserve">Mean_normalized_distance_same_cluster</x:t>
        </x:is>
      </x:c>
      <x:c r="B13" t="n">
        <x:v>0.2719590681417317</x:v>
      </x:c>
    </x:row>
    <x:row r="14">
      <x:c r="A14" t="inlineStr">
        <x:is>
          <x:t xml:space="preserve">Median_normalized_distance_same_cluster</x:t>
        </x:is>
      </x:c>
      <x:c r="B14" t="n">
        <x:v>0.278255082471117</x:v>
      </x:c>
    </x:row>
    <x:row r="15">
      <x:c r="A15" t="inlineStr">
        <x:is>
          <x:t xml:space="preserve">Mean_normalized_distance_different_cluster</x:t>
        </x:is>
      </x:c>
      <x:c r="B15" t="n">
        <x:v>0.6509312940199655</x:v>
      </x:c>
    </x:row>
    <x:row r="16">
      <x:c r="A16" t="inlineStr">
        <x:is>
          <x:t xml:space="preserve">Median_normalized_distance_different_cluster</x:t>
        </x:is>
      </x:c>
      <x:c r="B16" t="n">
        <x:v>0.655916312128912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</x:cols>
  <x:sheetData>
    <x:row r="1">
      <x:c r="A1" s="7" t="str">
        <x:v>Composition</x:v>
      </x:c>
      <x:c r="B1" s="7" t="str">
        <x:v>Debye_Temperature_K</x:v>
      </x:c>
    </x:row>
    <x:row r="2">
      <x:c r="A2" t="str">
        <x:v>RbLi7(SiO4)2</x:v>
      </x:c>
      <x:c r="B2" s="12" t="n">
        <x:v>555.8</x:v>
      </x:c>
    </x:row>
    <x:row r="3">
      <x:c r="A3" t="str">
        <x:v>K2RbNaLi12(SiO4)4</x:v>
      </x:c>
      <x:c r="B3" s="12" t="n">
        <x:v>637.4</x:v>
      </x:c>
    </x:row>
    <x:row r="4">
      <x:c r="A4" t="str">
        <x:v>BaLi2SiO4</x:v>
      </x:c>
      <x:c r="B4" s="12" t="n">
        <x:v>448</x:v>
      </x:c>
    </x:row>
    <x:row r="5">
      <x:c r="A5" t="str">
        <x:v>BaNa(B3O5)3</x:v>
      </x:c>
      <x:c r="B5" s="12" t="n">
        <x:v>412.4</x:v>
      </x:c>
    </x:row>
    <x:row r="6">
      <x:c r="A6" t="str">
        <x:v>NaCaPO4</x:v>
      </x:c>
      <x:c r="B6" s="12" t="n">
        <x:v>497.2</x:v>
      </x:c>
    </x:row>
    <x:row r="7">
      <x:c r="A7" t="str">
        <x:v>Ba3Si6(NO6)2</x:v>
      </x:c>
      <x:c r="B7" s="12" t="n">
        <x:v>442.4</x:v>
      </x:c>
    </x:row>
    <x:row r="8">
      <x:c r="A8" t="str">
        <x:v>Ba6Y2Al4O15</x:v>
      </x:c>
      <x:c r="B8" s="12" t="n">
        <x:v>425</x:v>
      </x:c>
    </x:row>
    <x:row r="9">
      <x:c r="A9" t="str">
        <x:v>Ba2MgSi2O7</x:v>
      </x:c>
      <x:c r="B9" s="12" t="n">
        <x:v>433.8</x:v>
      </x:c>
    </x:row>
    <x:row r="10">
      <x:c r="A10" t="str">
        <x:v>Ba2Ca(BO3)2</x:v>
      </x:c>
      <x:c r="B10" s="12" t="n">
        <x:v>396.1</x:v>
      </x:c>
    </x:row>
    <x:row r="11">
      <x:c r="A11" t="str">
        <x:v>SrAl2O4</x:v>
      </x:c>
      <x:c r="B11" s="12" t="n">
        <x:v>507.2</x:v>
      </x:c>
    </x:row>
    <x:row r="12">
      <x:c r="A12" t="str">
        <x:v>Rb2ZrSi2O7</x:v>
      </x:c>
      <x:c r="B12" s="12" t="n">
        <x:v>405.1</x:v>
      </x:c>
    </x:row>
    <x:row r="13">
      <x:c r="A13" t="str">
        <x:v>Cs2BaP2O7</x:v>
      </x:c>
      <x:c r="B13" s="12" t="n">
        <x:v>223.3</x:v>
      </x:c>
    </x:row>
    <x:row r="14">
      <x:c r="A14" t="str">
        <x:v>Sr2LiSiO4F</x:v>
      </x:c>
      <x:c r="B14" s="12" t="n">
        <x:v>492.9</x:v>
      </x:c>
    </x:row>
    <x:row r="15">
      <x:c r="A15" t="str">
        <x:v>Na3YSi2O7</x:v>
      </x:c>
      <x:c r="B15" s="12" t="n">
        <x:v>632.7</x:v>
      </x:c>
    </x:row>
    <x:row r="16">
      <x:c r="A16" t="str">
        <x:v>Ba2Mg(PO4)2</x:v>
      </x:c>
      <x:c r="B16" s="12" t="n">
        <x:v>366.1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Metric</x:v>
      </x:c>
      <x:c r="B1" s="5" t="str">
        <x:v>Value</x:v>
      </x:c>
      <x:c r="D1" s="5" t="str">
        <x:v>Distance_Quartile</x:v>
      </x:c>
      <x:c r="E1" s="5" t="str">
        <x:v>n</x:v>
      </x:c>
      <x:c r="F1" s="5" t="str">
        <x:v>Distance_Min</x:v>
      </x:c>
      <x:c r="G1" s="5" t="str">
        <x:v>Distance_Max</x:v>
      </x:c>
      <x:c r="H1" s="5" t="str">
        <x:v>Mean_Debye_Diff_K</x:v>
      </x:c>
      <x:c r="I1" s="5" t="str">
        <x:v>Median_Debye_Diff_K</x:v>
      </x:c>
    </x:row>
    <x:row r="2">
      <x:c r="A2" t="str">
        <x:v>Spearman_rho</x:v>
      </x:c>
      <x:c r="B2" s="14" t="n">
        <x:v>0.3574090680592701</x:v>
      </x:c>
      <x:c r="D2" t="str">
        <x:v>Q1</x:v>
      </x:c>
      <x:c r="E2" t="n">
        <x:v>27</x:v>
      </x:c>
      <x:c r="F2" s="16" t="n">
        <x:v>0.03438251898272913</x:v>
      </x:c>
      <x:c r="G2" s="16" t="n">
        <x:v>0.3296475662308574</x:v>
      </x:c>
      <x:c r="H2" s="16" t="n">
        <x:v>83.29629629629629</x:v>
      </x:c>
      <x:c r="I2" s="16" t="n">
        <x:v>76.29999999999995</x:v>
      </x:c>
    </x:row>
    <x:row r="3">
      <x:c r="A3" t="str">
        <x:v>Spearman_p</x:v>
      </x:c>
      <x:c r="B3" s="14" t="n">
        <x:v>0.00018188609376484411</x:v>
      </x:c>
      <x:c r="D3" t="str">
        <x:v>Q2</x:v>
      </x:c>
      <x:c r="E3" t="n">
        <x:v>26</x:v>
      </x:c>
      <x:c r="F3" s="16" t="n">
        <x:v>0.3529193954616097</x:v>
      </x:c>
      <x:c r="G3" s="16" t="n">
        <x:v>0.5425648053125007</x:v>
      </x:c>
      <x:c r="H3" s="16" t="n">
        <x:v>95.81153846153846</x:v>
      </x:c>
      <x:c r="I3" s="16" t="n">
        <x:v>58.74999999999997</x:v>
      </x:c>
    </x:row>
    <x:row r="4">
      <x:c r="A4" t="str">
        <x:v>Pearson_r</x:v>
      </x:c>
      <x:c r="B4" s="14" t="n">
        <x:v>0.35395083101425356</x:v>
      </x:c>
      <x:c r="D4" t="str">
        <x:v>Q3</x:v>
      </x:c>
      <x:c r="E4" t="n">
        <x:v>26</x:v>
      </x:c>
      <x:c r="F4" s="16" t="n">
        <x:v>0.5487127580586573</x:v>
      </x:c>
      <x:c r="G4" s="16" t="n">
        <x:v>0.690006297158303</x:v>
      </x:c>
      <x:c r="H4" s="16" t="n">
        <x:v>130.21153846153845</x:v>
      </x:c>
      <x:c r="I4" s="16" t="n">
        <x:v>90.79999999999998</x:v>
      </x:c>
    </x:row>
    <x:row r="5">
      <x:c r="A5" t="str">
        <x:v>Pearson_p</x:v>
      </x:c>
      <x:c r="B5" s="14" t="n">
        <x:v>0.0002120900192701293</x:v>
      </x:c>
      <x:c r="D5" t="str">
        <x:v>Q4</x:v>
      </x:c>
      <x:c r="E5" t="n">
        <x:v>26</x:v>
      </x:c>
      <x:c r="F5" s="16" t="n">
        <x:v>0.692506499374488</x:v>
      </x:c>
      <x:c r="G5" s="16" t="n">
        <x:v>1</x:v>
      </x:c>
      <x:c r="H5" s="16" t="n">
        <x:v>157.44615384615383</x:v>
      </x:c>
      <x:c r="I5" s="16" t="n">
        <x:v>166.24999999999997</x:v>
      </x:c>
    </x:row>
    <x:row r="6">
      <x:c r="A6" t="str">
        <x:v>Mean_Debye_Diff_Same_Cluster_K</x:v>
      </x:c>
      <x:c r="B6" s="14" t="n">
        <x:v>80.90833333333332</x:v>
      </x:c>
    </x:row>
    <x:row r="7">
      <x:c r="A7" t="str">
        <x:v>Mean_Debye_Diff_Different_Cluster_K</x:v>
      </x:c>
      <x:c r="B7" s="14" t="n">
        <x:v>134.87681159420288</x:v>
      </x:c>
    </x:row>
    <x:row r="8">
      <x:c r="A8" t="str">
        <x:v>Median_Debye_Diff_Same_Cluster_K</x:v>
      </x:c>
      <x:c r="B8" s="14" t="n">
        <x:v>69.1</x:v>
      </x:c>
    </x:row>
    <x:row r="9">
      <x:c r="A9" t="str">
        <x:v>Median_Debye_Diff_Different_Cluster_K</x:v>
      </x:c>
      <x:c r="B9" s="14" t="n">
        <x:v>125.50000000000006</x:v>
      </x:c>
    </x:row>
  </x:sheetData>
  <x:pageMargins left="0.7" right="0.7" top="0.75" bottom="0.75" header="0.3" footer="0.3"/>
</x:worksheet>
</file>