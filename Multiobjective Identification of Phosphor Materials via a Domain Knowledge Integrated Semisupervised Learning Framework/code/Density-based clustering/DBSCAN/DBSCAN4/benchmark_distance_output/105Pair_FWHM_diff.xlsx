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KJ\SKJ\work2(半监督学习)\工作第四次重做（绿粉聚类）\机器学习代码\Density-based clustering\DBSCAN\DBSCAN4\benchmark_distance_output\"/>
    </mc:Choice>
  </mc:AlternateContent>
  <xr:revisionPtr revIDLastSave="0" documentId="13_ncr:1_{0FE2AFD1-7F2D-4922-8AEA-17B34ABC7541}" xr6:coauthVersionLast="47" xr6:coauthVersionMax="47" xr10:uidLastSave="{00000000-0000-0000-0000-000000000000}"/>
  <bookViews>
    <workbookView xWindow="1425" yWindow="1425" windowWidth="28800" windowHeight="15435" activeTab="2" xr2:uid="{00000000-000D-0000-FFFF-FFFF00000000}"/>
  </bookViews>
  <sheets>
    <sheet name="Distance_Matrix" sheetId="1" r:id="rId1"/>
    <sheet name="Normalized_Distance_Matrix" sheetId="2" r:id="rId2"/>
    <sheet name="Pairwise_105" sheetId="3" r:id="rId3"/>
    <sheet name="Benchmark_PCA_Cluster" sheetId="4" r:id="rId4"/>
    <sheet name="Raw_Matrix_Sorted" sheetId="5" r:id="rId5"/>
    <sheet name="Normalized_Matrix_Sorted" sheetId="6" r:id="rId6"/>
    <sheet name="Summary" sheetId="7" r:id="rId7"/>
    <sheet name="Benchmark_Propert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" i="3" l="1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<sst xmlns="http://schemas.openxmlformats.org/spreadsheetml/2006/main" count="416" uniqueCount="82">
  <si>
    <t>Benchmark</t>
  </si>
  <si>
    <t>14 | K2RbNaLi12(SiO4)4</t>
  </si>
  <si>
    <t>15 | Rb2ZrSi2O7</t>
  </si>
  <si>
    <t>16 | Sr2LiSiO4F</t>
  </si>
  <si>
    <t>17 | SrAl2O4</t>
  </si>
  <si>
    <t>95 | Na3YSi2O7</t>
  </si>
  <si>
    <t>111 | Ba2MgSi2O7</t>
  </si>
  <si>
    <t>142 | Ba2Ca(BO3)2</t>
  </si>
  <si>
    <t>144 | Ba2Mg(PO4)2</t>
  </si>
  <si>
    <t>153 | Ba3Si6(NO6)2</t>
  </si>
  <si>
    <t>157 | BaNa(B3O5)3</t>
  </si>
  <si>
    <t>171 | BaLi2SiO4</t>
  </si>
  <si>
    <t>180 | Ba6Y2Al4O15</t>
  </si>
  <si>
    <t>199 | Cs2BaP2O7</t>
  </si>
  <si>
    <t>261 | NaCaPO4</t>
  </si>
  <si>
    <t>283 | RbLi7(SiO4)2</t>
  </si>
  <si>
    <t>Pair_Rank_From_Nearest</t>
  </si>
  <si>
    <t>Benchmark_A_Number</t>
  </si>
  <si>
    <t>Benchmark_A_Composition</t>
  </si>
  <si>
    <t>Cluster_A</t>
  </si>
  <si>
    <t>Benchmark_B_Number</t>
  </si>
  <si>
    <t>Benchmark_B_Composition</t>
  </si>
  <si>
    <t>Cluster_B</t>
  </si>
  <si>
    <t>Same_Cluster</t>
  </si>
  <si>
    <t>Euclidean_Distance</t>
  </si>
  <si>
    <t>Normalized_Euclidean_Distance</t>
  </si>
  <si>
    <t>FWHM_Difference_nm</t>
  </si>
  <si>
    <t>Ba2MgSi2O7</t>
  </si>
  <si>
    <t>Ba2Mg(PO4)2</t>
  </si>
  <si>
    <t>SrAl2O4</t>
  </si>
  <si>
    <t>Ba6Y2Al4O15</t>
  </si>
  <si>
    <t>Ba2Ca(BO3)2</t>
  </si>
  <si>
    <t>Ba3Si6(NO6)2</t>
  </si>
  <si>
    <t>Rb2ZrSi2O7</t>
  </si>
  <si>
    <t>NaCaPO4</t>
  </si>
  <si>
    <t>K2RbNaLi12(SiO4)4</t>
  </si>
  <si>
    <t>BaLi2SiO4</t>
  </si>
  <si>
    <t>Sr2LiSiO4F</t>
  </si>
  <si>
    <t>Cs2BaP2O7</t>
  </si>
  <si>
    <t>Na3YSi2O7</t>
  </si>
  <si>
    <t>RbLi7(SiO4)2</t>
  </si>
  <si>
    <t>BaNa(B3O5)3</t>
  </si>
  <si>
    <t>Number</t>
  </si>
  <si>
    <t>Composition</t>
  </si>
  <si>
    <t>Cluster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</si>
  <si>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</si>
  <si>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</si>
  <si>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</si>
  <si>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</si>
  <si>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</si>
  <si>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</si>
  <si>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</si>
  <si>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</si>
  <si>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</si>
  <si>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</si>
  <si>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</si>
  <si>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</si>
  <si>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</si>
  <si>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</si>
  <si>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</si>
  <si>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</si>
  <si>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</si>
  <si>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</si>
  <si>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</si>
  <si>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Metric</t>
  </si>
  <si>
    <t>Value</t>
  </si>
  <si>
    <t>Number_of_benchmarks</t>
  </si>
  <si>
    <t>Number_of_unique_pairs</t>
  </si>
  <si>
    <t>Maximum_raw_distance</t>
  </si>
  <si>
    <t>Mean_raw_distance_all_pairs</t>
  </si>
  <si>
    <t>Median_raw_distance_all_pairs</t>
  </si>
  <si>
    <t>Mean_raw_distance_same_cluster</t>
  </si>
  <si>
    <t>Median_raw_distance_same_cluster</t>
  </si>
  <si>
    <t>Mean_raw_distance_different_cluster</t>
  </si>
  <si>
    <t>Median_raw_distance_different_cluster</t>
  </si>
  <si>
    <t>Mean_normalized_distance_all_pairs</t>
  </si>
  <si>
    <t>Median_normalized_distance_all_pairs</t>
  </si>
  <si>
    <t>Mean_normalized_distance_same_cluster</t>
  </si>
  <si>
    <t>Median_normalized_distance_same_cluster</t>
  </si>
  <si>
    <t>Mean_normalized_distance_different_cluster</t>
  </si>
  <si>
    <t>Median_normalized_distance_different_cluster</t>
  </si>
  <si>
    <t>FWHM_nm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</si>
</sst>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1" applyFont="1" applyBorder="1" applyAlignment="1">
      <alignment horizontal="center" vertical="top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1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H37" sqref="H3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</v>
      </c>
      <c r="B2">
        <v>0</v>
      </c>
      <c r="C2">
        <v>2.111531644053644</v>
      </c>
      <c r="D2">
        <v>1.8248501147693721</v>
      </c>
      <c r="E2">
        <v>2.6696518836439531</v>
      </c>
      <c r="F2">
        <v>1.961183706069793</v>
      </c>
      <c r="G2">
        <v>2.5926501069505821</v>
      </c>
      <c r="H2">
        <v>2.8306437780989602</v>
      </c>
      <c r="I2">
        <v>2.9014969611009769</v>
      </c>
      <c r="J2">
        <v>2.732397701623325</v>
      </c>
      <c r="K2">
        <v>2.796853762301025</v>
      </c>
      <c r="L2">
        <v>1.390545029335255</v>
      </c>
      <c r="M2">
        <v>2.7935789373760809</v>
      </c>
      <c r="N2">
        <v>2.2291642894864641</v>
      </c>
      <c r="O2">
        <v>2.1110679524046772</v>
      </c>
      <c r="P2">
        <v>1.713276037638908</v>
      </c>
    </row>
    <row r="3" spans="1:16" x14ac:dyDescent="0.25">
      <c r="A3" s="1" t="s">
        <v>2</v>
      </c>
      <c r="B3">
        <v>2.111531644053644</v>
      </c>
      <c r="C3">
        <v>0</v>
      </c>
      <c r="D3">
        <v>1.4061099837596149</v>
      </c>
      <c r="E3">
        <v>1.6626158218941249</v>
      </c>
      <c r="F3">
        <v>1.6368576894169831</v>
      </c>
      <c r="G3">
        <v>1.67903644426952</v>
      </c>
      <c r="H3">
        <v>1.7529094919709229</v>
      </c>
      <c r="I3">
        <v>1.9774012730826851</v>
      </c>
      <c r="J3">
        <v>2.094721119138252</v>
      </c>
      <c r="K3">
        <v>2.0639358843454589</v>
      </c>
      <c r="L3">
        <v>1.778308299383375</v>
      </c>
      <c r="M3">
        <v>1.724775041917092</v>
      </c>
      <c r="N3">
        <v>1.408324660173649</v>
      </c>
      <c r="O3">
        <v>1.3474929470122019</v>
      </c>
      <c r="P3">
        <v>1.7292710605846959</v>
      </c>
    </row>
    <row r="4" spans="1:16" x14ac:dyDescent="0.25">
      <c r="A4" s="1" t="s">
        <v>3</v>
      </c>
      <c r="B4">
        <v>1.8248501147693721</v>
      </c>
      <c r="C4">
        <v>1.4061099837596149</v>
      </c>
      <c r="D4">
        <v>0</v>
      </c>
      <c r="E4">
        <v>2.0379956719470131</v>
      </c>
      <c r="F4">
        <v>1.9984142556026061</v>
      </c>
      <c r="G4">
        <v>1.8745272969288309</v>
      </c>
      <c r="H4">
        <v>1.941182664542193</v>
      </c>
      <c r="I4">
        <v>2.1448694814087812</v>
      </c>
      <c r="J4">
        <v>2.209188235023527</v>
      </c>
      <c r="K4">
        <v>2.248082866456905</v>
      </c>
      <c r="L4">
        <v>1.5447955316783939</v>
      </c>
      <c r="M4">
        <v>2.0700763038685999</v>
      </c>
      <c r="N4">
        <v>1.8607549006901301</v>
      </c>
      <c r="O4">
        <v>1.4978255588492611</v>
      </c>
      <c r="P4">
        <v>1.738809727917336</v>
      </c>
    </row>
    <row r="5" spans="1:16" x14ac:dyDescent="0.25">
      <c r="A5" s="1" t="s">
        <v>4</v>
      </c>
      <c r="B5">
        <v>2.6696518836439531</v>
      </c>
      <c r="C5">
        <v>1.6626158218941249</v>
      </c>
      <c r="D5">
        <v>2.037995671947014</v>
      </c>
      <c r="E5">
        <v>0</v>
      </c>
      <c r="F5">
        <v>2.1489737213265272</v>
      </c>
      <c r="G5">
        <v>0.98782888693581428</v>
      </c>
      <c r="H5">
        <v>1.358012804548228</v>
      </c>
      <c r="I5">
        <v>1.347495282731515</v>
      </c>
      <c r="J5">
        <v>1.357265932811313</v>
      </c>
      <c r="K5">
        <v>2.3616586057420328</v>
      </c>
      <c r="L5">
        <v>2.370778110864999</v>
      </c>
      <c r="M5">
        <v>1.3361236650263359</v>
      </c>
      <c r="N5">
        <v>2.2314116065008438</v>
      </c>
      <c r="O5">
        <v>1.8440226139458391</v>
      </c>
      <c r="P5">
        <v>2.5837223784918879</v>
      </c>
    </row>
    <row r="6" spans="1:16" x14ac:dyDescent="0.25">
      <c r="A6" s="1" t="s">
        <v>5</v>
      </c>
      <c r="B6">
        <v>1.961183706069793</v>
      </c>
      <c r="C6">
        <v>1.6368576894169831</v>
      </c>
      <c r="D6">
        <v>1.9984142556026061</v>
      </c>
      <c r="E6">
        <v>2.1489737213265272</v>
      </c>
      <c r="F6">
        <v>0</v>
      </c>
      <c r="G6">
        <v>2.2962078997223432</v>
      </c>
      <c r="H6">
        <v>2.5446113867737248</v>
      </c>
      <c r="I6">
        <v>2.4158841674235529</v>
      </c>
      <c r="J6">
        <v>2.087096529091709</v>
      </c>
      <c r="K6">
        <v>2.2848797931046239</v>
      </c>
      <c r="L6">
        <v>1.4483920429147119</v>
      </c>
      <c r="M6">
        <v>2.3379319547668711</v>
      </c>
      <c r="N6">
        <v>2.1479755365495419</v>
      </c>
      <c r="O6">
        <v>1.6305296387194881</v>
      </c>
      <c r="P6">
        <v>2.0286571120031689</v>
      </c>
    </row>
    <row r="7" spans="1:16" x14ac:dyDescent="0.25">
      <c r="A7" s="1" t="s">
        <v>6</v>
      </c>
      <c r="B7">
        <v>2.5926501069505821</v>
      </c>
      <c r="C7">
        <v>1.67903644426952</v>
      </c>
      <c r="D7">
        <v>1.8745272969288309</v>
      </c>
      <c r="E7">
        <v>0.98782888693581428</v>
      </c>
      <c r="F7">
        <v>2.2962078997223432</v>
      </c>
      <c r="G7">
        <v>0</v>
      </c>
      <c r="H7">
        <v>1.1688102279481289</v>
      </c>
      <c r="I7">
        <v>0.94302211262080549</v>
      </c>
      <c r="J7">
        <v>1.2729188073065461</v>
      </c>
      <c r="K7">
        <v>2.327150889729626</v>
      </c>
      <c r="L7">
        <v>2.2273207785900442</v>
      </c>
      <c r="M7">
        <v>1.0849534470703801</v>
      </c>
      <c r="N7">
        <v>1.932460090790074</v>
      </c>
      <c r="O7">
        <v>1.9367299592953799</v>
      </c>
      <c r="P7">
        <v>2.556514367384171</v>
      </c>
    </row>
    <row r="8" spans="1:16" x14ac:dyDescent="0.25">
      <c r="A8" s="1" t="s">
        <v>7</v>
      </c>
      <c r="B8">
        <v>2.8306437780989602</v>
      </c>
      <c r="C8">
        <v>1.7529094919709229</v>
      </c>
      <c r="D8">
        <v>1.941182664542193</v>
      </c>
      <c r="E8">
        <v>1.358012804548228</v>
      </c>
      <c r="F8">
        <v>2.5446113867737248</v>
      </c>
      <c r="G8">
        <v>1.1688102279481289</v>
      </c>
      <c r="H8">
        <v>0</v>
      </c>
      <c r="I8">
        <v>1.5928641197781159</v>
      </c>
      <c r="J8">
        <v>1.5303020197309221</v>
      </c>
      <c r="K8">
        <v>2.2343818116668328</v>
      </c>
      <c r="L8">
        <v>2.2771089708820851</v>
      </c>
      <c r="M8">
        <v>1.2527499690464421</v>
      </c>
      <c r="N8">
        <v>2.247224716272878</v>
      </c>
      <c r="O8">
        <v>2.256127492562721</v>
      </c>
      <c r="P8">
        <v>2.4615571438716191</v>
      </c>
    </row>
    <row r="9" spans="1:16" x14ac:dyDescent="0.25">
      <c r="A9" s="1" t="s">
        <v>8</v>
      </c>
      <c r="B9">
        <v>2.9014969611009769</v>
      </c>
      <c r="C9">
        <v>1.9774012730826851</v>
      </c>
      <c r="D9">
        <v>2.1448694814087812</v>
      </c>
      <c r="E9">
        <v>1.347495282731515</v>
      </c>
      <c r="F9">
        <v>2.4158841674235529</v>
      </c>
      <c r="G9">
        <v>0.94302211262080549</v>
      </c>
      <c r="H9">
        <v>1.5928641197781159</v>
      </c>
      <c r="I9">
        <v>0</v>
      </c>
      <c r="J9">
        <v>1.4744839975092461</v>
      </c>
      <c r="K9">
        <v>2.4855615480766931</v>
      </c>
      <c r="L9">
        <v>2.4197970480459459</v>
      </c>
      <c r="M9">
        <v>1.6287316155153519</v>
      </c>
      <c r="N9">
        <v>1.7763513706227341</v>
      </c>
      <c r="O9">
        <v>1.9422892221705399</v>
      </c>
      <c r="P9">
        <v>2.5939035230038119</v>
      </c>
    </row>
    <row r="10" spans="1:16" x14ac:dyDescent="0.25">
      <c r="A10" s="1" t="s">
        <v>9</v>
      </c>
      <c r="B10">
        <v>2.732397701623325</v>
      </c>
      <c r="C10">
        <v>2.094721119138252</v>
      </c>
      <c r="D10">
        <v>2.209188235023527</v>
      </c>
      <c r="E10">
        <v>1.357265932811313</v>
      </c>
      <c r="F10">
        <v>2.087096529091709</v>
      </c>
      <c r="G10">
        <v>1.2729188073065461</v>
      </c>
      <c r="H10">
        <v>1.5303020197309221</v>
      </c>
      <c r="I10">
        <v>1.4744839975092461</v>
      </c>
      <c r="J10">
        <v>0</v>
      </c>
      <c r="K10">
        <v>2.0944559539030418</v>
      </c>
      <c r="L10">
        <v>2.1565928736871909</v>
      </c>
      <c r="M10">
        <v>1.5530319930074159</v>
      </c>
      <c r="N10">
        <v>2.253520153371388</v>
      </c>
      <c r="O10">
        <v>2.147960788674109</v>
      </c>
      <c r="P10">
        <v>2.8720309648543472</v>
      </c>
    </row>
    <row r="11" spans="1:16" x14ac:dyDescent="0.25">
      <c r="A11" s="1" t="s">
        <v>10</v>
      </c>
      <c r="B11">
        <v>2.796853762301025</v>
      </c>
      <c r="C11">
        <v>2.0639358843454589</v>
      </c>
      <c r="D11">
        <v>2.248082866456905</v>
      </c>
      <c r="E11">
        <v>2.3616586057420328</v>
      </c>
      <c r="F11">
        <v>2.2848797931046239</v>
      </c>
      <c r="G11">
        <v>2.327150889729626</v>
      </c>
      <c r="H11">
        <v>2.2343818116668328</v>
      </c>
      <c r="I11">
        <v>2.4855615480766931</v>
      </c>
      <c r="J11">
        <v>2.0944559539030418</v>
      </c>
      <c r="K11">
        <v>0</v>
      </c>
      <c r="L11">
        <v>2.1322383572758699</v>
      </c>
      <c r="M11">
        <v>2.5873607520779949</v>
      </c>
      <c r="N11">
        <v>2.5215936475371481</v>
      </c>
      <c r="O11">
        <v>2.4656377840360508</v>
      </c>
      <c r="P11">
        <v>2.5258524796290192</v>
      </c>
    </row>
    <row r="12" spans="1:16" x14ac:dyDescent="0.25">
      <c r="A12" s="1" t="s">
        <v>11</v>
      </c>
      <c r="B12">
        <v>1.390545029335255</v>
      </c>
      <c r="C12">
        <v>1.778308299383375</v>
      </c>
      <c r="D12">
        <v>1.5447955316783939</v>
      </c>
      <c r="E12">
        <v>2.370778110864999</v>
      </c>
      <c r="F12">
        <v>1.4483920429147119</v>
      </c>
      <c r="G12">
        <v>2.2273207785900442</v>
      </c>
      <c r="H12">
        <v>2.2771089708820851</v>
      </c>
      <c r="I12">
        <v>2.4197970480459459</v>
      </c>
      <c r="J12">
        <v>2.1565928736871909</v>
      </c>
      <c r="K12">
        <v>2.1322383572758699</v>
      </c>
      <c r="L12">
        <v>0</v>
      </c>
      <c r="M12">
        <v>2.4254289703034742</v>
      </c>
      <c r="N12">
        <v>1.9465986448012711</v>
      </c>
      <c r="O12">
        <v>1.793367701959564</v>
      </c>
      <c r="P12">
        <v>1.5702639586338729</v>
      </c>
    </row>
    <row r="13" spans="1:16" x14ac:dyDescent="0.25">
      <c r="A13" s="1" t="s">
        <v>12</v>
      </c>
      <c r="B13">
        <v>2.7935789373760809</v>
      </c>
      <c r="C13">
        <v>1.724775041917092</v>
      </c>
      <c r="D13">
        <v>2.0700763038685999</v>
      </c>
      <c r="E13">
        <v>1.3361236650263359</v>
      </c>
      <c r="F13">
        <v>2.3379319547668711</v>
      </c>
      <c r="G13">
        <v>1.0849534470703801</v>
      </c>
      <c r="H13">
        <v>1.2527499690464421</v>
      </c>
      <c r="I13">
        <v>1.6287316155153519</v>
      </c>
      <c r="J13">
        <v>1.5530319930074159</v>
      </c>
      <c r="K13">
        <v>2.5873607520779949</v>
      </c>
      <c r="L13">
        <v>2.4254289703034742</v>
      </c>
      <c r="M13">
        <v>0</v>
      </c>
      <c r="N13">
        <v>2.213144420371906</v>
      </c>
      <c r="O13">
        <v>2.2265161831704932</v>
      </c>
      <c r="P13">
        <v>2.802865031863071</v>
      </c>
    </row>
    <row r="14" spans="1:16" x14ac:dyDescent="0.25">
      <c r="A14" s="1" t="s">
        <v>13</v>
      </c>
      <c r="B14">
        <v>2.2291642894864641</v>
      </c>
      <c r="C14">
        <v>1.408324660173649</v>
      </c>
      <c r="D14">
        <v>1.8607549006901301</v>
      </c>
      <c r="E14">
        <v>2.2314116065008438</v>
      </c>
      <c r="F14">
        <v>2.1479755365495419</v>
      </c>
      <c r="G14">
        <v>1.932460090790074</v>
      </c>
      <c r="H14">
        <v>2.247224716272878</v>
      </c>
      <c r="I14">
        <v>1.7763513706227341</v>
      </c>
      <c r="J14">
        <v>2.253520153371388</v>
      </c>
      <c r="K14">
        <v>2.5215936475371481</v>
      </c>
      <c r="L14">
        <v>1.9465986448012711</v>
      </c>
      <c r="M14">
        <v>2.213144420371906</v>
      </c>
      <c r="N14">
        <v>0</v>
      </c>
      <c r="O14">
        <v>1.7388641192893211</v>
      </c>
      <c r="P14">
        <v>1.9750962544492989</v>
      </c>
    </row>
    <row r="15" spans="1:16" x14ac:dyDescent="0.25">
      <c r="A15" s="1" t="s">
        <v>14</v>
      </c>
      <c r="B15">
        <v>2.1110679524046772</v>
      </c>
      <c r="C15">
        <v>1.3474929470122019</v>
      </c>
      <c r="D15">
        <v>1.4978255588492611</v>
      </c>
      <c r="E15">
        <v>1.8440226139458391</v>
      </c>
      <c r="F15">
        <v>1.6305296387194881</v>
      </c>
      <c r="G15">
        <v>1.9367299592953799</v>
      </c>
      <c r="H15">
        <v>2.256127492562721</v>
      </c>
      <c r="I15">
        <v>1.9422892221705399</v>
      </c>
      <c r="J15">
        <v>2.1479607886741081</v>
      </c>
      <c r="K15">
        <v>2.4656377840360508</v>
      </c>
      <c r="L15">
        <v>1.793367701959564</v>
      </c>
      <c r="M15">
        <v>2.226516183170494</v>
      </c>
      <c r="N15">
        <v>1.7388641192893211</v>
      </c>
      <c r="O15">
        <v>0</v>
      </c>
      <c r="P15">
        <v>1.8913336991464069</v>
      </c>
    </row>
    <row r="16" spans="1:16" x14ac:dyDescent="0.25">
      <c r="A16" s="1" t="s">
        <v>15</v>
      </c>
      <c r="B16">
        <v>1.713276037638908</v>
      </c>
      <c r="C16">
        <v>1.7292710605846959</v>
      </c>
      <c r="D16">
        <v>1.738809727917336</v>
      </c>
      <c r="E16">
        <v>2.5837223784918879</v>
      </c>
      <c r="F16">
        <v>2.0286571120031689</v>
      </c>
      <c r="G16">
        <v>2.556514367384171</v>
      </c>
      <c r="H16">
        <v>2.4615571438716191</v>
      </c>
      <c r="I16">
        <v>2.5939035230038119</v>
      </c>
      <c r="J16">
        <v>2.8720309648543472</v>
      </c>
      <c r="K16">
        <v>2.5258524796290192</v>
      </c>
      <c r="L16">
        <v>1.5702639586338729</v>
      </c>
      <c r="M16">
        <v>2.802865031863071</v>
      </c>
      <c r="N16">
        <v>1.9750962544492989</v>
      </c>
      <c r="O16">
        <v>1.8913336991464069</v>
      </c>
      <c r="P16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</v>
      </c>
      <c r="B2">
        <v>0</v>
      </c>
      <c r="C2">
        <v>0.72773870604104329</v>
      </c>
      <c r="D2">
        <v>0.62893400862874937</v>
      </c>
      <c r="E2">
        <v>0.92009466817809427</v>
      </c>
      <c r="F2">
        <v>0.67592133728295156</v>
      </c>
      <c r="G2">
        <v>0.89355603045911758</v>
      </c>
      <c r="H2">
        <v>0.97558047313096885</v>
      </c>
      <c r="I2">
        <v>1</v>
      </c>
      <c r="J2">
        <v>0.94171999428409281</v>
      </c>
      <c r="K2">
        <v>0.9639347549892846</v>
      </c>
      <c r="L2">
        <v>0.47925089978643681</v>
      </c>
      <c r="M2">
        <v>0.96280608762590381</v>
      </c>
      <c r="N2">
        <v>0.76828075968089382</v>
      </c>
      <c r="O2">
        <v>0.72757889486247429</v>
      </c>
      <c r="P2">
        <v>0.59048003861730847</v>
      </c>
    </row>
    <row r="3" spans="1:16" x14ac:dyDescent="0.25">
      <c r="A3" s="1" t="s">
        <v>2</v>
      </c>
      <c r="B3">
        <v>0.72773870604104329</v>
      </c>
      <c r="C3">
        <v>0</v>
      </c>
      <c r="D3">
        <v>0.48461535635248931</v>
      </c>
      <c r="E3">
        <v>0.57302001145754866</v>
      </c>
      <c r="F3">
        <v>0.56414247933448625</v>
      </c>
      <c r="G3">
        <v>0.5786793737093584</v>
      </c>
      <c r="H3">
        <v>0.60413969598154582</v>
      </c>
      <c r="I3">
        <v>0.68151071656899387</v>
      </c>
      <c r="J3">
        <v>0.72194496400347996</v>
      </c>
      <c r="K3">
        <v>0.7113348426745536</v>
      </c>
      <c r="L3">
        <v>0.61289338683594319</v>
      </c>
      <c r="M3">
        <v>0.59444316676541464</v>
      </c>
      <c r="N3">
        <v>0.48537864387052748</v>
      </c>
      <c r="O3">
        <v>0.46441301337806462</v>
      </c>
      <c r="P3">
        <v>0.59599271816177313</v>
      </c>
    </row>
    <row r="4" spans="1:16" x14ac:dyDescent="0.25">
      <c r="A4" s="1" t="s">
        <v>3</v>
      </c>
      <c r="B4">
        <v>0.62893400862874937</v>
      </c>
      <c r="C4">
        <v>0.48461535635248931</v>
      </c>
      <c r="D4">
        <v>0</v>
      </c>
      <c r="E4">
        <v>0.70239455676482687</v>
      </c>
      <c r="F4">
        <v>0.68875283427638145</v>
      </c>
      <c r="G4">
        <v>0.64605523357761452</v>
      </c>
      <c r="H4">
        <v>0.66902798471503777</v>
      </c>
      <c r="I4">
        <v>0.73922858102698363</v>
      </c>
      <c r="J4">
        <v>0.76139601889682729</v>
      </c>
      <c r="K4">
        <v>0.77480104118525983</v>
      </c>
      <c r="L4">
        <v>0.53241328610326</v>
      </c>
      <c r="M4">
        <v>0.71345113630003831</v>
      </c>
      <c r="N4">
        <v>0.64130858161714688</v>
      </c>
      <c r="O4">
        <v>0.51622509998456412</v>
      </c>
      <c r="P4">
        <v>0.59928021680834098</v>
      </c>
    </row>
    <row r="5" spans="1:16" x14ac:dyDescent="0.25">
      <c r="A5" s="1" t="s">
        <v>4</v>
      </c>
      <c r="B5">
        <v>0.92009466817809449</v>
      </c>
      <c r="C5">
        <v>0.57302001145754866</v>
      </c>
      <c r="D5">
        <v>0.70239455676482709</v>
      </c>
      <c r="E5">
        <v>0</v>
      </c>
      <c r="F5">
        <v>0.74064310600245997</v>
      </c>
      <c r="G5">
        <v>0.34045491006166051</v>
      </c>
      <c r="H5">
        <v>0.46803867891453099</v>
      </c>
      <c r="I5">
        <v>0.4644138183829789</v>
      </c>
      <c r="J5">
        <v>0.46778126980918711</v>
      </c>
      <c r="K5">
        <v>0.81394488341835047</v>
      </c>
      <c r="L5">
        <v>0.81708791794336522</v>
      </c>
      <c r="M5">
        <v>0.46049459397653197</v>
      </c>
      <c r="N5">
        <v>0.76905529677140583</v>
      </c>
      <c r="O5">
        <v>0.6355418043402401</v>
      </c>
      <c r="P5">
        <v>0.89047909170013095</v>
      </c>
    </row>
    <row r="6" spans="1:16" x14ac:dyDescent="0.25">
      <c r="A6" s="1" t="s">
        <v>5</v>
      </c>
      <c r="B6">
        <v>0.67592133728295156</v>
      </c>
      <c r="C6">
        <v>0.56414247933448625</v>
      </c>
      <c r="D6">
        <v>0.68875283427638134</v>
      </c>
      <c r="E6">
        <v>0.74064310600245997</v>
      </c>
      <c r="F6">
        <v>0</v>
      </c>
      <c r="G6">
        <v>0.79138731851404165</v>
      </c>
      <c r="H6">
        <v>0.87699950090871992</v>
      </c>
      <c r="I6">
        <v>0.8326337059153226</v>
      </c>
      <c r="J6">
        <v>0.71931715148161213</v>
      </c>
      <c r="K6">
        <v>0.78748309018997653</v>
      </c>
      <c r="L6">
        <v>0.49918785452221098</v>
      </c>
      <c r="M6">
        <v>0.80576750074545633</v>
      </c>
      <c r="N6">
        <v>0.74029908193820404</v>
      </c>
      <c r="O6">
        <v>0.56196151868474853</v>
      </c>
      <c r="P6">
        <v>0.69917602506583088</v>
      </c>
    </row>
    <row r="7" spans="1:16" x14ac:dyDescent="0.25">
      <c r="A7" s="1" t="s">
        <v>6</v>
      </c>
      <c r="B7">
        <v>0.89355603045911758</v>
      </c>
      <c r="C7">
        <v>0.5786793737093584</v>
      </c>
      <c r="D7">
        <v>0.64605523357761452</v>
      </c>
      <c r="E7">
        <v>0.34045491006166051</v>
      </c>
      <c r="F7">
        <v>0.79138731851404165</v>
      </c>
      <c r="G7">
        <v>0</v>
      </c>
      <c r="H7">
        <v>0.40283007137964488</v>
      </c>
      <c r="I7">
        <v>0.32501226961925689</v>
      </c>
      <c r="J7">
        <v>0.43871105997075899</v>
      </c>
      <c r="K7">
        <v>0.80205181012720606</v>
      </c>
      <c r="L7">
        <v>0.76764539423983547</v>
      </c>
      <c r="M7">
        <v>0.37392885866014941</v>
      </c>
      <c r="N7">
        <v>0.66602175246008144</v>
      </c>
      <c r="O7">
        <v>0.66749336127530701</v>
      </c>
      <c r="P7">
        <v>0.88110185937058427</v>
      </c>
    </row>
    <row r="8" spans="1:16" x14ac:dyDescent="0.25">
      <c r="A8" s="1" t="s">
        <v>7</v>
      </c>
      <c r="B8">
        <v>0.97558047313096885</v>
      </c>
      <c r="C8">
        <v>0.60413969598154582</v>
      </c>
      <c r="D8">
        <v>0.66902798471503777</v>
      </c>
      <c r="E8">
        <v>0.46803867891453099</v>
      </c>
      <c r="F8">
        <v>0.87699950090871992</v>
      </c>
      <c r="G8">
        <v>0.40283007137964488</v>
      </c>
      <c r="H8">
        <v>0</v>
      </c>
      <c r="I8">
        <v>0.54898010962372368</v>
      </c>
      <c r="J8">
        <v>0.52741810184431359</v>
      </c>
      <c r="K8">
        <v>0.77007897703225348</v>
      </c>
      <c r="L8">
        <v>0.78480487879540384</v>
      </c>
      <c r="M8">
        <v>0.43175987631263418</v>
      </c>
      <c r="N8">
        <v>0.77450527999869601</v>
      </c>
      <c r="O8">
        <v>0.77757361900066602</v>
      </c>
      <c r="P8">
        <v>0.84837488264594874</v>
      </c>
    </row>
    <row r="9" spans="1:16" x14ac:dyDescent="0.25">
      <c r="A9" s="1" t="s">
        <v>8</v>
      </c>
      <c r="B9">
        <v>1</v>
      </c>
      <c r="C9">
        <v>0.68151071656899387</v>
      </c>
      <c r="D9">
        <v>0.73922858102698363</v>
      </c>
      <c r="E9">
        <v>0.4644138183829789</v>
      </c>
      <c r="F9">
        <v>0.8326337059153226</v>
      </c>
      <c r="G9">
        <v>0.32501226961925689</v>
      </c>
      <c r="H9">
        <v>0.54898010962372368</v>
      </c>
      <c r="I9">
        <v>0</v>
      </c>
      <c r="J9">
        <v>0.50818043833130566</v>
      </c>
      <c r="K9">
        <v>0.85664799288073123</v>
      </c>
      <c r="L9">
        <v>0.83398227897083521</v>
      </c>
      <c r="M9">
        <v>0.56134183056229259</v>
      </c>
      <c r="N9">
        <v>0.61221893196424193</v>
      </c>
      <c r="O9">
        <v>0.66940935944786772</v>
      </c>
      <c r="P9">
        <v>0.89398801990113108</v>
      </c>
    </row>
    <row r="10" spans="1:16" x14ac:dyDescent="0.25">
      <c r="A10" s="1" t="s">
        <v>9</v>
      </c>
      <c r="B10">
        <v>0.94171999428409281</v>
      </c>
      <c r="C10">
        <v>0.72194496400347996</v>
      </c>
      <c r="D10">
        <v>0.76139601889682729</v>
      </c>
      <c r="E10">
        <v>0.46778126980918711</v>
      </c>
      <c r="F10">
        <v>0.71931715148161213</v>
      </c>
      <c r="G10">
        <v>0.43871105997075899</v>
      </c>
      <c r="H10">
        <v>0.52741810184431359</v>
      </c>
      <c r="I10">
        <v>0.50818043833130566</v>
      </c>
      <c r="J10">
        <v>0</v>
      </c>
      <c r="K10">
        <v>0.72185357488994162</v>
      </c>
      <c r="L10">
        <v>0.74326904442762831</v>
      </c>
      <c r="M10">
        <v>0.53525197986701167</v>
      </c>
      <c r="N10">
        <v>0.77667500038197057</v>
      </c>
      <c r="O10">
        <v>0.74029399908765081</v>
      </c>
      <c r="P10">
        <v>0.98984455381423209</v>
      </c>
    </row>
    <row r="11" spans="1:16" x14ac:dyDescent="0.25">
      <c r="A11" s="1" t="s">
        <v>10</v>
      </c>
      <c r="B11">
        <v>0.96393475498928483</v>
      </c>
      <c r="C11">
        <v>0.7113348426745536</v>
      </c>
      <c r="D11">
        <v>0.77480104118525983</v>
      </c>
      <c r="E11">
        <v>0.81394488341835047</v>
      </c>
      <c r="F11">
        <v>0.78748309018997653</v>
      </c>
      <c r="G11">
        <v>0.80205181012720606</v>
      </c>
      <c r="H11">
        <v>0.77007897703225348</v>
      </c>
      <c r="I11">
        <v>0.85664799288073123</v>
      </c>
      <c r="J11">
        <v>0.72185357488994162</v>
      </c>
      <c r="K11">
        <v>0</v>
      </c>
      <c r="L11">
        <v>0.73487526813289827</v>
      </c>
      <c r="M11">
        <v>0.89173305599335095</v>
      </c>
      <c r="N11">
        <v>0.86906644443988157</v>
      </c>
      <c r="O11">
        <v>0.84978127397399061</v>
      </c>
      <c r="P11">
        <v>0.87053424955874514</v>
      </c>
    </row>
    <row r="12" spans="1:16" x14ac:dyDescent="0.25">
      <c r="A12" s="1" t="s">
        <v>11</v>
      </c>
      <c r="B12">
        <v>0.47925089978643681</v>
      </c>
      <c r="C12">
        <v>0.61289338683594319</v>
      </c>
      <c r="D12">
        <v>0.53241328610326</v>
      </c>
      <c r="E12">
        <v>0.81708791794336522</v>
      </c>
      <c r="F12">
        <v>0.49918785452221098</v>
      </c>
      <c r="G12">
        <v>0.76764539423983547</v>
      </c>
      <c r="H12">
        <v>0.78480487879540384</v>
      </c>
      <c r="I12">
        <v>0.83398227897083521</v>
      </c>
      <c r="J12">
        <v>0.74326904442762831</v>
      </c>
      <c r="K12">
        <v>0.73487526813289827</v>
      </c>
      <c r="L12">
        <v>0</v>
      </c>
      <c r="M12">
        <v>0.83592331917629914</v>
      </c>
      <c r="N12">
        <v>0.6708946005797749</v>
      </c>
      <c r="O12">
        <v>0.61808360511915483</v>
      </c>
      <c r="P12">
        <v>0.54119097131090366</v>
      </c>
    </row>
    <row r="13" spans="1:16" x14ac:dyDescent="0.25">
      <c r="A13" s="1" t="s">
        <v>12</v>
      </c>
      <c r="B13">
        <v>0.96280608762590381</v>
      </c>
      <c r="C13">
        <v>0.59444316676541464</v>
      </c>
      <c r="D13">
        <v>0.71345113630003831</v>
      </c>
      <c r="E13">
        <v>0.46049459397653197</v>
      </c>
      <c r="F13">
        <v>0.80576750074545633</v>
      </c>
      <c r="G13">
        <v>0.37392885866014941</v>
      </c>
      <c r="H13">
        <v>0.43175987631263418</v>
      </c>
      <c r="I13">
        <v>0.56134183056229259</v>
      </c>
      <c r="J13">
        <v>0.53525197986701167</v>
      </c>
      <c r="K13">
        <v>0.89173305599335095</v>
      </c>
      <c r="L13">
        <v>0.83592331917629914</v>
      </c>
      <c r="M13">
        <v>0</v>
      </c>
      <c r="N13">
        <v>0.76275951691230637</v>
      </c>
      <c r="O13">
        <v>0.76736809068572598</v>
      </c>
      <c r="P13">
        <v>0.96600653712196882</v>
      </c>
    </row>
    <row r="14" spans="1:16" x14ac:dyDescent="0.25">
      <c r="A14" s="1" t="s">
        <v>13</v>
      </c>
      <c r="B14">
        <v>0.76828075968089382</v>
      </c>
      <c r="C14">
        <v>0.48537864387052748</v>
      </c>
      <c r="D14">
        <v>0.64130858161714688</v>
      </c>
      <c r="E14">
        <v>0.76905529677140583</v>
      </c>
      <c r="F14">
        <v>0.74029908193820404</v>
      </c>
      <c r="G14">
        <v>0.66602175246008144</v>
      </c>
      <c r="H14">
        <v>0.77450527999869601</v>
      </c>
      <c r="I14">
        <v>0.61221893196424193</v>
      </c>
      <c r="J14">
        <v>0.77667500038197057</v>
      </c>
      <c r="K14">
        <v>0.86906644443988157</v>
      </c>
      <c r="L14">
        <v>0.6708946005797749</v>
      </c>
      <c r="M14">
        <v>0.76275951691230637</v>
      </c>
      <c r="N14">
        <v>0</v>
      </c>
      <c r="O14">
        <v>0.59929896277730599</v>
      </c>
      <c r="P14">
        <v>0.68071629263393951</v>
      </c>
    </row>
    <row r="15" spans="1:16" x14ac:dyDescent="0.25">
      <c r="A15" s="1" t="s">
        <v>14</v>
      </c>
      <c r="B15">
        <v>0.72757889486247429</v>
      </c>
      <c r="C15">
        <v>0.46441301337806462</v>
      </c>
      <c r="D15">
        <v>0.51622509998456412</v>
      </c>
      <c r="E15">
        <v>0.6355418043402401</v>
      </c>
      <c r="F15">
        <v>0.56196151868474853</v>
      </c>
      <c r="G15">
        <v>0.66749336127530701</v>
      </c>
      <c r="H15">
        <v>0.77757361900066602</v>
      </c>
      <c r="I15">
        <v>0.66940935944786772</v>
      </c>
      <c r="J15">
        <v>0.7402939990876507</v>
      </c>
      <c r="K15">
        <v>0.84978127397399061</v>
      </c>
      <c r="L15">
        <v>0.61808360511915483</v>
      </c>
      <c r="M15">
        <v>0.7673680906857262</v>
      </c>
      <c r="N15">
        <v>0.59929896277730599</v>
      </c>
      <c r="O15">
        <v>0</v>
      </c>
      <c r="P15">
        <v>0.65184755472869338</v>
      </c>
    </row>
    <row r="16" spans="1:16" x14ac:dyDescent="0.25">
      <c r="A16" s="1" t="s">
        <v>15</v>
      </c>
      <c r="B16">
        <v>0.59048003861730847</v>
      </c>
      <c r="C16">
        <v>0.59599271816177313</v>
      </c>
      <c r="D16">
        <v>0.59928021680834098</v>
      </c>
      <c r="E16">
        <v>0.89047909170013095</v>
      </c>
      <c r="F16">
        <v>0.69917602506583088</v>
      </c>
      <c r="G16">
        <v>0.88110185937058427</v>
      </c>
      <c r="H16">
        <v>0.84837488264594874</v>
      </c>
      <c r="I16">
        <v>0.89398801990113108</v>
      </c>
      <c r="J16">
        <v>0.98984455381423209</v>
      </c>
      <c r="K16">
        <v>0.87053424955874514</v>
      </c>
      <c r="L16">
        <v>0.54119097131090366</v>
      </c>
      <c r="M16">
        <v>0.96600653712196871</v>
      </c>
      <c r="N16">
        <v>0.68071629263393951</v>
      </c>
      <c r="O16">
        <v>0.65184755472869338</v>
      </c>
      <c r="P16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"/>
  <sheetViews>
    <sheetView tabSelected="1" workbookViewId="0">
      <selection activeCell="M6" sqref="M6"/>
    </sheetView>
  </sheetViews>
  <sheetFormatPr defaultRowHeight="15" x14ac:dyDescent="0.25"/>
  <cols>
    <col min="11" max="11" width="41.42578125" customWidth="1"/>
  </cols>
  <sheetData>
    <row r="1" spans="1:1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</row>
    <row r="2" spans="1:11" x14ac:dyDescent="0.25">
      <c r="A2">
        <v>1</v>
      </c>
      <c r="B2">
        <v>111</v>
      </c>
      <c r="C2" t="s">
        <v>27</v>
      </c>
      <c r="D2">
        <v>0</v>
      </c>
      <c r="E2">
        <v>144</v>
      </c>
      <c r="F2" t="s">
        <v>28</v>
      </c>
      <c r="G2">
        <v>0</v>
      </c>
      <c r="H2" t="b">
        <v>1</v>
      </c>
      <c r="I2">
        <v>0.94302211262080549</v>
      </c>
      <c r="J2">
        <v>0.32501226961925689</v>
      </c>
      <c r="K2" s="6">
        <f>ABS(VLOOKUP(C2,Benchmark_Properties!$A$2:$B$16,2,FALSE)-VLOOKUP(F2,Benchmark_Properties!$A$2:$B$16,2,FALSE))</f>
        <v>45</v>
      </c>
    </row>
    <row r="3" spans="1:11" x14ac:dyDescent="0.25">
      <c r="A3">
        <v>2</v>
      </c>
      <c r="B3">
        <v>17</v>
      </c>
      <c r="C3" t="s">
        <v>29</v>
      </c>
      <c r="D3">
        <v>0</v>
      </c>
      <c r="E3">
        <v>111</v>
      </c>
      <c r="F3" t="s">
        <v>27</v>
      </c>
      <c r="G3">
        <v>0</v>
      </c>
      <c r="H3" t="b">
        <v>1</v>
      </c>
      <c r="I3">
        <v>0.98782888693581428</v>
      </c>
      <c r="J3">
        <v>0.34045491006166051</v>
      </c>
      <c r="K3" s="6">
        <f>ABS(VLOOKUP(C3,Benchmark_Properties!$A$2:$B$16,2,FALSE)-VLOOKUP(F3,Benchmark_Properties!$A$2:$B$16,2,FALSE))</f>
        <v>2</v>
      </c>
    </row>
    <row r="4" spans="1:11" x14ac:dyDescent="0.25">
      <c r="A4">
        <v>3</v>
      </c>
      <c r="B4">
        <v>111</v>
      </c>
      <c r="C4" t="s">
        <v>27</v>
      </c>
      <c r="D4">
        <v>0</v>
      </c>
      <c r="E4">
        <v>180</v>
      </c>
      <c r="F4" t="s">
        <v>30</v>
      </c>
      <c r="G4">
        <v>0</v>
      </c>
      <c r="H4" t="b">
        <v>1</v>
      </c>
      <c r="I4">
        <v>1.0849534470703801</v>
      </c>
      <c r="J4">
        <v>0.37392885866014941</v>
      </c>
      <c r="K4" s="6">
        <f>ABS(VLOOKUP(C4,Benchmark_Properties!$A$2:$B$16,2,FALSE)-VLOOKUP(F4,Benchmark_Properties!$A$2:$B$16,2,FALSE))</f>
        <v>6</v>
      </c>
    </row>
    <row r="5" spans="1:11" x14ac:dyDescent="0.25">
      <c r="A5">
        <v>4</v>
      </c>
      <c r="B5">
        <v>111</v>
      </c>
      <c r="C5" t="s">
        <v>27</v>
      </c>
      <c r="D5">
        <v>0</v>
      </c>
      <c r="E5">
        <v>142</v>
      </c>
      <c r="F5" t="s">
        <v>31</v>
      </c>
      <c r="G5">
        <v>0</v>
      </c>
      <c r="H5" t="b">
        <v>1</v>
      </c>
      <c r="I5">
        <v>1.1688102279481289</v>
      </c>
      <c r="J5">
        <v>0.40283007137964488</v>
      </c>
      <c r="K5" s="6">
        <f>ABS(VLOOKUP(C5,Benchmark_Properties!$A$2:$B$16,2,FALSE)-VLOOKUP(F5,Benchmark_Properties!$A$2:$B$16,2,FALSE))</f>
        <v>0</v>
      </c>
    </row>
    <row r="6" spans="1:11" x14ac:dyDescent="0.25">
      <c r="A6">
        <v>5</v>
      </c>
      <c r="B6">
        <v>142</v>
      </c>
      <c r="C6" t="s">
        <v>31</v>
      </c>
      <c r="D6">
        <v>0</v>
      </c>
      <c r="E6">
        <v>180</v>
      </c>
      <c r="F6" t="s">
        <v>30</v>
      </c>
      <c r="G6">
        <v>0</v>
      </c>
      <c r="H6" t="b">
        <v>1</v>
      </c>
      <c r="I6">
        <v>1.2527499690464421</v>
      </c>
      <c r="J6">
        <v>0.43175987631263418</v>
      </c>
      <c r="K6" s="6">
        <f>ABS(VLOOKUP(C6,Benchmark_Properties!$A$2:$B$16,2,FALSE)-VLOOKUP(F6,Benchmark_Properties!$A$2:$B$16,2,FALSE))</f>
        <v>6</v>
      </c>
    </row>
    <row r="7" spans="1:11" x14ac:dyDescent="0.25">
      <c r="A7">
        <v>6</v>
      </c>
      <c r="B7">
        <v>111</v>
      </c>
      <c r="C7" t="s">
        <v>27</v>
      </c>
      <c r="D7">
        <v>0</v>
      </c>
      <c r="E7">
        <v>153</v>
      </c>
      <c r="F7" t="s">
        <v>32</v>
      </c>
      <c r="G7">
        <v>0</v>
      </c>
      <c r="H7" t="b">
        <v>1</v>
      </c>
      <c r="I7">
        <v>1.2729188073065461</v>
      </c>
      <c r="J7">
        <v>0.43871105997075899</v>
      </c>
      <c r="K7" s="6">
        <f>ABS(VLOOKUP(C7,Benchmark_Properties!$A$2:$B$16,2,FALSE)-VLOOKUP(F7,Benchmark_Properties!$A$2:$B$16,2,FALSE))</f>
        <v>7</v>
      </c>
    </row>
    <row r="8" spans="1:11" x14ac:dyDescent="0.25">
      <c r="A8">
        <v>7</v>
      </c>
      <c r="B8">
        <v>17</v>
      </c>
      <c r="C8" t="s">
        <v>29</v>
      </c>
      <c r="D8">
        <v>0</v>
      </c>
      <c r="E8">
        <v>180</v>
      </c>
      <c r="F8" t="s">
        <v>30</v>
      </c>
      <c r="G8">
        <v>0</v>
      </c>
      <c r="H8" t="b">
        <v>1</v>
      </c>
      <c r="I8">
        <v>1.3361236650263359</v>
      </c>
      <c r="J8">
        <v>0.46049459397653197</v>
      </c>
      <c r="K8" s="6">
        <f>ABS(VLOOKUP(C8,Benchmark_Properties!$A$2:$B$16,2,FALSE)-VLOOKUP(F8,Benchmark_Properties!$A$2:$B$16,2,FALSE))</f>
        <v>8</v>
      </c>
    </row>
    <row r="9" spans="1:11" x14ac:dyDescent="0.25">
      <c r="A9">
        <v>8</v>
      </c>
      <c r="B9">
        <v>15</v>
      </c>
      <c r="C9" t="s">
        <v>33</v>
      </c>
      <c r="D9">
        <v>1</v>
      </c>
      <c r="E9">
        <v>261</v>
      </c>
      <c r="F9" t="s">
        <v>34</v>
      </c>
      <c r="G9">
        <v>1</v>
      </c>
      <c r="H9" t="b">
        <v>1</v>
      </c>
      <c r="I9">
        <v>1.3474929470122019</v>
      </c>
      <c r="J9">
        <v>0.46441301337806462</v>
      </c>
      <c r="K9" s="6">
        <f>ABS(VLOOKUP(C9,Benchmark_Properties!$A$2:$B$16,2,FALSE)-VLOOKUP(F9,Benchmark_Properties!$A$2:$B$16,2,FALSE))</f>
        <v>26</v>
      </c>
    </row>
    <row r="10" spans="1:11" x14ac:dyDescent="0.25">
      <c r="A10">
        <v>9</v>
      </c>
      <c r="B10">
        <v>17</v>
      </c>
      <c r="C10" t="s">
        <v>29</v>
      </c>
      <c r="D10">
        <v>0</v>
      </c>
      <c r="E10">
        <v>144</v>
      </c>
      <c r="F10" t="s">
        <v>28</v>
      </c>
      <c r="G10">
        <v>0</v>
      </c>
      <c r="H10" t="b">
        <v>1</v>
      </c>
      <c r="I10">
        <v>1.347495282731515</v>
      </c>
      <c r="J10">
        <v>0.4644138183829789</v>
      </c>
      <c r="K10" s="6">
        <f>ABS(VLOOKUP(C10,Benchmark_Properties!$A$2:$B$16,2,FALSE)-VLOOKUP(F10,Benchmark_Properties!$A$2:$B$16,2,FALSE))</f>
        <v>43</v>
      </c>
    </row>
    <row r="11" spans="1:11" x14ac:dyDescent="0.25">
      <c r="A11">
        <v>10</v>
      </c>
      <c r="B11">
        <v>17</v>
      </c>
      <c r="C11" t="s">
        <v>29</v>
      </c>
      <c r="D11">
        <v>0</v>
      </c>
      <c r="E11">
        <v>153</v>
      </c>
      <c r="F11" t="s">
        <v>32</v>
      </c>
      <c r="G11">
        <v>0</v>
      </c>
      <c r="H11" t="b">
        <v>1</v>
      </c>
      <c r="I11">
        <v>1.357265932811313</v>
      </c>
      <c r="J11">
        <v>0.46778126980918711</v>
      </c>
      <c r="K11" s="6">
        <f>ABS(VLOOKUP(C11,Benchmark_Properties!$A$2:$B$16,2,FALSE)-VLOOKUP(F11,Benchmark_Properties!$A$2:$B$16,2,FALSE))</f>
        <v>9</v>
      </c>
    </row>
    <row r="12" spans="1:11" x14ac:dyDescent="0.25">
      <c r="A12">
        <v>11</v>
      </c>
      <c r="B12">
        <v>17</v>
      </c>
      <c r="C12" t="s">
        <v>29</v>
      </c>
      <c r="D12">
        <v>0</v>
      </c>
      <c r="E12">
        <v>142</v>
      </c>
      <c r="F12" t="s">
        <v>31</v>
      </c>
      <c r="G12">
        <v>0</v>
      </c>
      <c r="H12" t="b">
        <v>1</v>
      </c>
      <c r="I12">
        <v>1.358012804548228</v>
      </c>
      <c r="J12">
        <v>0.46803867891453099</v>
      </c>
      <c r="K12" s="6">
        <f>ABS(VLOOKUP(C12,Benchmark_Properties!$A$2:$B$16,2,FALSE)-VLOOKUP(F12,Benchmark_Properties!$A$2:$B$16,2,FALSE))</f>
        <v>2</v>
      </c>
    </row>
    <row r="13" spans="1:11" x14ac:dyDescent="0.25">
      <c r="A13">
        <v>12</v>
      </c>
      <c r="B13">
        <v>14</v>
      </c>
      <c r="C13" t="s">
        <v>35</v>
      </c>
      <c r="D13">
        <v>2</v>
      </c>
      <c r="E13">
        <v>171</v>
      </c>
      <c r="F13" t="s">
        <v>36</v>
      </c>
      <c r="G13">
        <v>2</v>
      </c>
      <c r="H13" t="b">
        <v>1</v>
      </c>
      <c r="I13">
        <v>1.390545029335255</v>
      </c>
      <c r="J13">
        <v>0.47925089978643681</v>
      </c>
      <c r="K13" s="6">
        <f>ABS(VLOOKUP(C13,Benchmark_Properties!$A$2:$B$16,2,FALSE)-VLOOKUP(F13,Benchmark_Properties!$A$2:$B$16,2,FALSE))</f>
        <v>10</v>
      </c>
    </row>
    <row r="14" spans="1:11" x14ac:dyDescent="0.25">
      <c r="A14">
        <v>13</v>
      </c>
      <c r="B14">
        <v>15</v>
      </c>
      <c r="C14" t="s">
        <v>33</v>
      </c>
      <c r="D14">
        <v>1</v>
      </c>
      <c r="E14">
        <v>16</v>
      </c>
      <c r="F14" t="s">
        <v>37</v>
      </c>
      <c r="G14">
        <v>1</v>
      </c>
      <c r="H14" t="b">
        <v>1</v>
      </c>
      <c r="I14">
        <v>1.4061099837596149</v>
      </c>
      <c r="J14">
        <v>0.48461535635248931</v>
      </c>
      <c r="K14" s="6">
        <f>ABS(VLOOKUP(C14,Benchmark_Properties!$A$2:$B$16,2,FALSE)-VLOOKUP(F14,Benchmark_Properties!$A$2:$B$16,2,FALSE))</f>
        <v>9</v>
      </c>
    </row>
    <row r="15" spans="1:11" x14ac:dyDescent="0.25">
      <c r="A15">
        <v>14</v>
      </c>
      <c r="B15">
        <v>15</v>
      </c>
      <c r="C15" t="s">
        <v>33</v>
      </c>
      <c r="D15">
        <v>1</v>
      </c>
      <c r="E15">
        <v>199</v>
      </c>
      <c r="F15" t="s">
        <v>38</v>
      </c>
      <c r="G15">
        <v>1</v>
      </c>
      <c r="H15" t="b">
        <v>1</v>
      </c>
      <c r="I15">
        <v>1.408324660173649</v>
      </c>
      <c r="J15">
        <v>0.48537864387052748</v>
      </c>
      <c r="K15" s="6">
        <f>ABS(VLOOKUP(C15,Benchmark_Properties!$A$2:$B$16,2,FALSE)-VLOOKUP(F15,Benchmark_Properties!$A$2:$B$16,2,FALSE))</f>
        <v>9</v>
      </c>
    </row>
    <row r="16" spans="1:11" x14ac:dyDescent="0.25">
      <c r="A16">
        <v>15</v>
      </c>
      <c r="B16">
        <v>95</v>
      </c>
      <c r="C16" t="s">
        <v>39</v>
      </c>
      <c r="D16">
        <v>2</v>
      </c>
      <c r="E16">
        <v>171</v>
      </c>
      <c r="F16" t="s">
        <v>36</v>
      </c>
      <c r="G16">
        <v>2</v>
      </c>
      <c r="H16" t="b">
        <v>1</v>
      </c>
      <c r="I16">
        <v>1.4483920429147119</v>
      </c>
      <c r="J16">
        <v>0.49918785452221098</v>
      </c>
      <c r="K16" s="6">
        <f>ABS(VLOOKUP(C16,Benchmark_Properties!$A$2:$B$16,2,FALSE)-VLOOKUP(F16,Benchmark_Properties!$A$2:$B$16,2,FALSE))</f>
        <v>44</v>
      </c>
    </row>
    <row r="17" spans="1:11" x14ac:dyDescent="0.25">
      <c r="A17">
        <v>16</v>
      </c>
      <c r="B17">
        <v>144</v>
      </c>
      <c r="C17" t="s">
        <v>28</v>
      </c>
      <c r="D17">
        <v>0</v>
      </c>
      <c r="E17">
        <v>153</v>
      </c>
      <c r="F17" t="s">
        <v>32</v>
      </c>
      <c r="G17">
        <v>0</v>
      </c>
      <c r="H17" t="b">
        <v>1</v>
      </c>
      <c r="I17">
        <v>1.4744839975092461</v>
      </c>
      <c r="J17">
        <v>0.50818043833130566</v>
      </c>
      <c r="K17" s="6">
        <f>ABS(VLOOKUP(C17,Benchmark_Properties!$A$2:$B$16,2,FALSE)-VLOOKUP(F17,Benchmark_Properties!$A$2:$B$16,2,FALSE))</f>
        <v>52</v>
      </c>
    </row>
    <row r="18" spans="1:11" x14ac:dyDescent="0.25">
      <c r="A18">
        <v>17</v>
      </c>
      <c r="B18">
        <v>16</v>
      </c>
      <c r="C18" t="s">
        <v>37</v>
      </c>
      <c r="D18">
        <v>1</v>
      </c>
      <c r="E18">
        <v>261</v>
      </c>
      <c r="F18" t="s">
        <v>34</v>
      </c>
      <c r="G18">
        <v>1</v>
      </c>
      <c r="H18" t="b">
        <v>1</v>
      </c>
      <c r="I18">
        <v>1.4978255588492611</v>
      </c>
      <c r="J18">
        <v>0.51622509998456412</v>
      </c>
      <c r="K18" s="6">
        <f>ABS(VLOOKUP(C18,Benchmark_Properties!$A$2:$B$16,2,FALSE)-VLOOKUP(F18,Benchmark_Properties!$A$2:$B$16,2,FALSE))</f>
        <v>35</v>
      </c>
    </row>
    <row r="19" spans="1:11" x14ac:dyDescent="0.25">
      <c r="A19">
        <v>18</v>
      </c>
      <c r="B19">
        <v>142</v>
      </c>
      <c r="C19" t="s">
        <v>31</v>
      </c>
      <c r="D19">
        <v>0</v>
      </c>
      <c r="E19">
        <v>153</v>
      </c>
      <c r="F19" t="s">
        <v>32</v>
      </c>
      <c r="G19">
        <v>0</v>
      </c>
      <c r="H19" t="b">
        <v>1</v>
      </c>
      <c r="I19">
        <v>1.5303020197309221</v>
      </c>
      <c r="J19">
        <v>0.52741810184431359</v>
      </c>
      <c r="K19" s="6">
        <f>ABS(VLOOKUP(C19,Benchmark_Properties!$A$2:$B$16,2,FALSE)-VLOOKUP(F19,Benchmark_Properties!$A$2:$B$16,2,FALSE))</f>
        <v>7</v>
      </c>
    </row>
    <row r="20" spans="1:11" x14ac:dyDescent="0.25">
      <c r="A20">
        <v>19</v>
      </c>
      <c r="B20">
        <v>16</v>
      </c>
      <c r="C20" t="s">
        <v>37</v>
      </c>
      <c r="D20">
        <v>1</v>
      </c>
      <c r="E20">
        <v>171</v>
      </c>
      <c r="F20" t="s">
        <v>36</v>
      </c>
      <c r="G20">
        <v>2</v>
      </c>
      <c r="H20" t="b">
        <v>0</v>
      </c>
      <c r="I20">
        <v>1.5447955316783939</v>
      </c>
      <c r="J20">
        <v>0.53241328610326</v>
      </c>
      <c r="K20" s="6">
        <f>ABS(VLOOKUP(C20,Benchmark_Properties!$A$2:$B$16,2,FALSE)-VLOOKUP(F20,Benchmark_Properties!$A$2:$B$16,2,FALSE))</f>
        <v>39</v>
      </c>
    </row>
    <row r="21" spans="1:11" x14ac:dyDescent="0.25">
      <c r="A21">
        <v>20</v>
      </c>
      <c r="B21">
        <v>153</v>
      </c>
      <c r="C21" t="s">
        <v>32</v>
      </c>
      <c r="D21">
        <v>0</v>
      </c>
      <c r="E21">
        <v>180</v>
      </c>
      <c r="F21" t="s">
        <v>30</v>
      </c>
      <c r="G21">
        <v>0</v>
      </c>
      <c r="H21" t="b">
        <v>1</v>
      </c>
      <c r="I21">
        <v>1.5530319930074159</v>
      </c>
      <c r="J21">
        <v>0.53525197986701167</v>
      </c>
      <c r="K21" s="6">
        <f>ABS(VLOOKUP(C21,Benchmark_Properties!$A$2:$B$16,2,FALSE)-VLOOKUP(F21,Benchmark_Properties!$A$2:$B$16,2,FALSE))</f>
        <v>1</v>
      </c>
    </row>
    <row r="22" spans="1:11" x14ac:dyDescent="0.25">
      <c r="A22">
        <v>21</v>
      </c>
      <c r="B22">
        <v>171</v>
      </c>
      <c r="C22" t="s">
        <v>36</v>
      </c>
      <c r="D22">
        <v>2</v>
      </c>
      <c r="E22">
        <v>283</v>
      </c>
      <c r="F22" t="s">
        <v>40</v>
      </c>
      <c r="G22">
        <v>2</v>
      </c>
      <c r="H22" t="b">
        <v>1</v>
      </c>
      <c r="I22">
        <v>1.5702639586338729</v>
      </c>
      <c r="J22">
        <v>0.54119097131090366</v>
      </c>
      <c r="K22" s="6">
        <f>ABS(VLOOKUP(C22,Benchmark_Properties!$A$2:$B$16,2,FALSE)-VLOOKUP(F22,Benchmark_Properties!$A$2:$B$16,2,FALSE))</f>
        <v>19</v>
      </c>
    </row>
    <row r="23" spans="1:11" x14ac:dyDescent="0.25">
      <c r="A23">
        <v>22</v>
      </c>
      <c r="B23">
        <v>142</v>
      </c>
      <c r="C23" t="s">
        <v>31</v>
      </c>
      <c r="D23">
        <v>0</v>
      </c>
      <c r="E23">
        <v>144</v>
      </c>
      <c r="F23" t="s">
        <v>28</v>
      </c>
      <c r="G23">
        <v>0</v>
      </c>
      <c r="H23" t="b">
        <v>1</v>
      </c>
      <c r="I23">
        <v>1.5928641197781159</v>
      </c>
      <c r="J23">
        <v>0.54898010962372368</v>
      </c>
      <c r="K23" s="6">
        <f>ABS(VLOOKUP(C23,Benchmark_Properties!$A$2:$B$16,2,FALSE)-VLOOKUP(F23,Benchmark_Properties!$A$2:$B$16,2,FALSE))</f>
        <v>45</v>
      </c>
    </row>
    <row r="24" spans="1:11" x14ac:dyDescent="0.25">
      <c r="A24">
        <v>23</v>
      </c>
      <c r="B24">
        <v>144</v>
      </c>
      <c r="C24" t="s">
        <v>28</v>
      </c>
      <c r="D24">
        <v>0</v>
      </c>
      <c r="E24">
        <v>180</v>
      </c>
      <c r="F24" t="s">
        <v>30</v>
      </c>
      <c r="G24">
        <v>0</v>
      </c>
      <c r="H24" t="b">
        <v>1</v>
      </c>
      <c r="I24">
        <v>1.6287316155153519</v>
      </c>
      <c r="J24">
        <v>0.56134183056229259</v>
      </c>
      <c r="K24" s="6">
        <f>ABS(VLOOKUP(C24,Benchmark_Properties!$A$2:$B$16,2,FALSE)-VLOOKUP(F24,Benchmark_Properties!$A$2:$B$16,2,FALSE))</f>
        <v>51</v>
      </c>
    </row>
    <row r="25" spans="1:11" x14ac:dyDescent="0.25">
      <c r="A25">
        <v>24</v>
      </c>
      <c r="B25">
        <v>95</v>
      </c>
      <c r="C25" t="s">
        <v>39</v>
      </c>
      <c r="D25">
        <v>2</v>
      </c>
      <c r="E25">
        <v>261</v>
      </c>
      <c r="F25" t="s">
        <v>34</v>
      </c>
      <c r="G25">
        <v>1</v>
      </c>
      <c r="H25" t="b">
        <v>0</v>
      </c>
      <c r="I25">
        <v>1.6305296387194881</v>
      </c>
      <c r="J25">
        <v>0.56196151868474853</v>
      </c>
      <c r="K25" s="6">
        <f>ABS(VLOOKUP(C25,Benchmark_Properties!$A$2:$B$16,2,FALSE)-VLOOKUP(F25,Benchmark_Properties!$A$2:$B$16,2,FALSE))</f>
        <v>40</v>
      </c>
    </row>
    <row r="26" spans="1:11" x14ac:dyDescent="0.25">
      <c r="A26">
        <v>25</v>
      </c>
      <c r="B26">
        <v>15</v>
      </c>
      <c r="C26" t="s">
        <v>33</v>
      </c>
      <c r="D26">
        <v>1</v>
      </c>
      <c r="E26">
        <v>95</v>
      </c>
      <c r="F26" t="s">
        <v>39</v>
      </c>
      <c r="G26">
        <v>2</v>
      </c>
      <c r="H26" t="b">
        <v>0</v>
      </c>
      <c r="I26">
        <v>1.6368576894169831</v>
      </c>
      <c r="J26">
        <v>0.56414247933448625</v>
      </c>
      <c r="K26" s="6">
        <f>ABS(VLOOKUP(C26,Benchmark_Properties!$A$2:$B$16,2,FALSE)-VLOOKUP(F26,Benchmark_Properties!$A$2:$B$16,2,FALSE))</f>
        <v>14</v>
      </c>
    </row>
    <row r="27" spans="1:11" x14ac:dyDescent="0.25">
      <c r="A27">
        <v>26</v>
      </c>
      <c r="B27">
        <v>15</v>
      </c>
      <c r="C27" t="s">
        <v>33</v>
      </c>
      <c r="D27">
        <v>1</v>
      </c>
      <c r="E27">
        <v>17</v>
      </c>
      <c r="F27" t="s">
        <v>29</v>
      </c>
      <c r="G27">
        <v>0</v>
      </c>
      <c r="H27" t="b">
        <v>0</v>
      </c>
      <c r="I27">
        <v>1.6626158218941249</v>
      </c>
      <c r="J27">
        <v>0.57302001145754866</v>
      </c>
      <c r="K27" s="6">
        <f>ABS(VLOOKUP(C27,Benchmark_Properties!$A$2:$B$16,2,FALSE)-VLOOKUP(F27,Benchmark_Properties!$A$2:$B$16,2,FALSE))</f>
        <v>14</v>
      </c>
    </row>
    <row r="28" spans="1:11" x14ac:dyDescent="0.25">
      <c r="A28">
        <v>27</v>
      </c>
      <c r="B28">
        <v>15</v>
      </c>
      <c r="C28" t="s">
        <v>33</v>
      </c>
      <c r="D28">
        <v>1</v>
      </c>
      <c r="E28">
        <v>111</v>
      </c>
      <c r="F28" t="s">
        <v>27</v>
      </c>
      <c r="G28">
        <v>0</v>
      </c>
      <c r="H28" t="b">
        <v>0</v>
      </c>
      <c r="I28">
        <v>1.67903644426952</v>
      </c>
      <c r="J28">
        <v>0.5786793737093584</v>
      </c>
      <c r="K28" s="6">
        <f>ABS(VLOOKUP(C28,Benchmark_Properties!$A$2:$B$16,2,FALSE)-VLOOKUP(F28,Benchmark_Properties!$A$2:$B$16,2,FALSE))</f>
        <v>16</v>
      </c>
    </row>
    <row r="29" spans="1:11" x14ac:dyDescent="0.25">
      <c r="A29">
        <v>28</v>
      </c>
      <c r="B29">
        <v>14</v>
      </c>
      <c r="C29" t="s">
        <v>35</v>
      </c>
      <c r="D29">
        <v>2</v>
      </c>
      <c r="E29">
        <v>283</v>
      </c>
      <c r="F29" t="s">
        <v>40</v>
      </c>
      <c r="G29">
        <v>2</v>
      </c>
      <c r="H29" t="b">
        <v>1</v>
      </c>
      <c r="I29">
        <v>1.713276037638908</v>
      </c>
      <c r="J29">
        <v>0.59048003861730847</v>
      </c>
      <c r="K29" s="6">
        <f>ABS(VLOOKUP(C29,Benchmark_Properties!$A$2:$B$16,2,FALSE)-VLOOKUP(F29,Benchmark_Properties!$A$2:$B$16,2,FALSE))</f>
        <v>9</v>
      </c>
    </row>
    <row r="30" spans="1:11" x14ac:dyDescent="0.25">
      <c r="A30">
        <v>29</v>
      </c>
      <c r="B30">
        <v>15</v>
      </c>
      <c r="C30" t="s">
        <v>33</v>
      </c>
      <c r="D30">
        <v>1</v>
      </c>
      <c r="E30">
        <v>180</v>
      </c>
      <c r="F30" t="s">
        <v>30</v>
      </c>
      <c r="G30">
        <v>0</v>
      </c>
      <c r="H30" t="b">
        <v>0</v>
      </c>
      <c r="I30">
        <v>1.724775041917092</v>
      </c>
      <c r="J30">
        <v>0.59444316676541464</v>
      </c>
      <c r="K30" s="6">
        <f>ABS(VLOOKUP(C30,Benchmark_Properties!$A$2:$B$16,2,FALSE)-VLOOKUP(F30,Benchmark_Properties!$A$2:$B$16,2,FALSE))</f>
        <v>22</v>
      </c>
    </row>
    <row r="31" spans="1:11" x14ac:dyDescent="0.25">
      <c r="A31">
        <v>30</v>
      </c>
      <c r="B31">
        <v>15</v>
      </c>
      <c r="C31" t="s">
        <v>33</v>
      </c>
      <c r="D31">
        <v>1</v>
      </c>
      <c r="E31">
        <v>283</v>
      </c>
      <c r="F31" t="s">
        <v>40</v>
      </c>
      <c r="G31">
        <v>2</v>
      </c>
      <c r="H31" t="b">
        <v>0</v>
      </c>
      <c r="I31">
        <v>1.7292710605846959</v>
      </c>
      <c r="J31">
        <v>0.59599271816177313</v>
      </c>
      <c r="K31" s="6">
        <f>ABS(VLOOKUP(C31,Benchmark_Properties!$A$2:$B$16,2,FALSE)-VLOOKUP(F31,Benchmark_Properties!$A$2:$B$16,2,FALSE))</f>
        <v>49</v>
      </c>
    </row>
    <row r="32" spans="1:11" x14ac:dyDescent="0.25">
      <c r="A32">
        <v>31</v>
      </c>
      <c r="B32">
        <v>16</v>
      </c>
      <c r="C32" t="s">
        <v>37</v>
      </c>
      <c r="D32">
        <v>1</v>
      </c>
      <c r="E32">
        <v>283</v>
      </c>
      <c r="F32" t="s">
        <v>40</v>
      </c>
      <c r="G32">
        <v>2</v>
      </c>
      <c r="H32" t="b">
        <v>0</v>
      </c>
      <c r="I32">
        <v>1.738809727917336</v>
      </c>
      <c r="J32">
        <v>0.59928021680834098</v>
      </c>
      <c r="K32" s="6">
        <f>ABS(VLOOKUP(C32,Benchmark_Properties!$A$2:$B$16,2,FALSE)-VLOOKUP(F32,Benchmark_Properties!$A$2:$B$16,2,FALSE))</f>
        <v>58</v>
      </c>
    </row>
    <row r="33" spans="1:11" x14ac:dyDescent="0.25">
      <c r="A33">
        <v>32</v>
      </c>
      <c r="B33">
        <v>199</v>
      </c>
      <c r="C33" t="s">
        <v>38</v>
      </c>
      <c r="D33">
        <v>1</v>
      </c>
      <c r="E33">
        <v>261</v>
      </c>
      <c r="F33" t="s">
        <v>34</v>
      </c>
      <c r="G33">
        <v>1</v>
      </c>
      <c r="H33" t="b">
        <v>1</v>
      </c>
      <c r="I33">
        <v>1.7388641192893211</v>
      </c>
      <c r="J33">
        <v>0.59929896277730599</v>
      </c>
      <c r="K33" s="6">
        <f>ABS(VLOOKUP(C33,Benchmark_Properties!$A$2:$B$16,2,FALSE)-VLOOKUP(F33,Benchmark_Properties!$A$2:$B$16,2,FALSE))</f>
        <v>35</v>
      </c>
    </row>
    <row r="34" spans="1:11" x14ac:dyDescent="0.25">
      <c r="A34">
        <v>33</v>
      </c>
      <c r="B34">
        <v>15</v>
      </c>
      <c r="C34" t="s">
        <v>33</v>
      </c>
      <c r="D34">
        <v>1</v>
      </c>
      <c r="E34">
        <v>142</v>
      </c>
      <c r="F34" t="s">
        <v>31</v>
      </c>
      <c r="G34">
        <v>0</v>
      </c>
      <c r="H34" t="b">
        <v>0</v>
      </c>
      <c r="I34">
        <v>1.7529094919709229</v>
      </c>
      <c r="J34">
        <v>0.60413969598154582</v>
      </c>
      <c r="K34" s="6">
        <f>ABS(VLOOKUP(C34,Benchmark_Properties!$A$2:$B$16,2,FALSE)-VLOOKUP(F34,Benchmark_Properties!$A$2:$B$16,2,FALSE))</f>
        <v>16</v>
      </c>
    </row>
    <row r="35" spans="1:11" x14ac:dyDescent="0.25">
      <c r="A35">
        <v>34</v>
      </c>
      <c r="B35">
        <v>144</v>
      </c>
      <c r="C35" t="s">
        <v>28</v>
      </c>
      <c r="D35">
        <v>0</v>
      </c>
      <c r="E35">
        <v>199</v>
      </c>
      <c r="F35" t="s">
        <v>38</v>
      </c>
      <c r="G35">
        <v>1</v>
      </c>
      <c r="H35" t="b">
        <v>0</v>
      </c>
      <c r="I35">
        <v>1.7763513706227341</v>
      </c>
      <c r="J35">
        <v>0.61221893196424193</v>
      </c>
      <c r="K35" s="6">
        <f>ABS(VLOOKUP(C35,Benchmark_Properties!$A$2:$B$16,2,FALSE)-VLOOKUP(F35,Benchmark_Properties!$A$2:$B$16,2,FALSE))</f>
        <v>20</v>
      </c>
    </row>
    <row r="36" spans="1:11" x14ac:dyDescent="0.25">
      <c r="A36">
        <v>35</v>
      </c>
      <c r="B36">
        <v>15</v>
      </c>
      <c r="C36" t="s">
        <v>33</v>
      </c>
      <c r="D36">
        <v>1</v>
      </c>
      <c r="E36">
        <v>171</v>
      </c>
      <c r="F36" t="s">
        <v>36</v>
      </c>
      <c r="G36">
        <v>2</v>
      </c>
      <c r="H36" t="b">
        <v>0</v>
      </c>
      <c r="I36">
        <v>1.778308299383375</v>
      </c>
      <c r="J36">
        <v>0.61289338683594319</v>
      </c>
      <c r="K36" s="6">
        <f>ABS(VLOOKUP(C36,Benchmark_Properties!$A$2:$B$16,2,FALSE)-VLOOKUP(F36,Benchmark_Properties!$A$2:$B$16,2,FALSE))</f>
        <v>30</v>
      </c>
    </row>
    <row r="37" spans="1:11" x14ac:dyDescent="0.25">
      <c r="A37">
        <v>36</v>
      </c>
      <c r="B37">
        <v>171</v>
      </c>
      <c r="C37" t="s">
        <v>36</v>
      </c>
      <c r="D37">
        <v>2</v>
      </c>
      <c r="E37">
        <v>261</v>
      </c>
      <c r="F37" t="s">
        <v>34</v>
      </c>
      <c r="G37">
        <v>1</v>
      </c>
      <c r="H37" t="b">
        <v>0</v>
      </c>
      <c r="I37">
        <v>1.793367701959564</v>
      </c>
      <c r="J37">
        <v>0.61808360511915483</v>
      </c>
      <c r="K37" s="6">
        <f>ABS(VLOOKUP(C37,Benchmark_Properties!$A$2:$B$16,2,FALSE)-VLOOKUP(F37,Benchmark_Properties!$A$2:$B$16,2,FALSE))</f>
        <v>4</v>
      </c>
    </row>
    <row r="38" spans="1:11" x14ac:dyDescent="0.25">
      <c r="A38">
        <v>37</v>
      </c>
      <c r="B38">
        <v>14</v>
      </c>
      <c r="C38" t="s">
        <v>35</v>
      </c>
      <c r="D38">
        <v>2</v>
      </c>
      <c r="E38">
        <v>16</v>
      </c>
      <c r="F38" t="s">
        <v>37</v>
      </c>
      <c r="G38">
        <v>1</v>
      </c>
      <c r="H38" t="b">
        <v>0</v>
      </c>
      <c r="I38">
        <v>1.8248501147693721</v>
      </c>
      <c r="J38">
        <v>0.62893400862874937</v>
      </c>
      <c r="K38" s="6">
        <f>ABS(VLOOKUP(C38,Benchmark_Properties!$A$2:$B$16,2,FALSE)-VLOOKUP(F38,Benchmark_Properties!$A$2:$B$16,2,FALSE))</f>
        <v>49</v>
      </c>
    </row>
    <row r="39" spans="1:11" x14ac:dyDescent="0.25">
      <c r="A39">
        <v>38</v>
      </c>
      <c r="B39">
        <v>17</v>
      </c>
      <c r="C39" t="s">
        <v>29</v>
      </c>
      <c r="D39">
        <v>0</v>
      </c>
      <c r="E39">
        <v>261</v>
      </c>
      <c r="F39" t="s">
        <v>34</v>
      </c>
      <c r="G39">
        <v>1</v>
      </c>
      <c r="H39" t="b">
        <v>0</v>
      </c>
      <c r="I39">
        <v>1.8440226139458391</v>
      </c>
      <c r="J39">
        <v>0.6355418043402401</v>
      </c>
      <c r="K39" s="6">
        <f>ABS(VLOOKUP(C39,Benchmark_Properties!$A$2:$B$16,2,FALSE)-VLOOKUP(F39,Benchmark_Properties!$A$2:$B$16,2,FALSE))</f>
        <v>12</v>
      </c>
    </row>
    <row r="40" spans="1:11" x14ac:dyDescent="0.25">
      <c r="A40">
        <v>39</v>
      </c>
      <c r="B40">
        <v>16</v>
      </c>
      <c r="C40" t="s">
        <v>37</v>
      </c>
      <c r="D40">
        <v>1</v>
      </c>
      <c r="E40">
        <v>199</v>
      </c>
      <c r="F40" t="s">
        <v>38</v>
      </c>
      <c r="G40">
        <v>1</v>
      </c>
      <c r="H40" t="b">
        <v>1</v>
      </c>
      <c r="I40">
        <v>1.8607549006901301</v>
      </c>
      <c r="J40">
        <v>0.64130858161714688</v>
      </c>
      <c r="K40" s="6">
        <f>ABS(VLOOKUP(C40,Benchmark_Properties!$A$2:$B$16,2,FALSE)-VLOOKUP(F40,Benchmark_Properties!$A$2:$B$16,2,FALSE))</f>
        <v>0</v>
      </c>
    </row>
    <row r="41" spans="1:11" x14ac:dyDescent="0.25">
      <c r="A41">
        <v>40</v>
      </c>
      <c r="B41">
        <v>16</v>
      </c>
      <c r="C41" t="s">
        <v>37</v>
      </c>
      <c r="D41">
        <v>1</v>
      </c>
      <c r="E41">
        <v>111</v>
      </c>
      <c r="F41" t="s">
        <v>27</v>
      </c>
      <c r="G41">
        <v>0</v>
      </c>
      <c r="H41" t="b">
        <v>0</v>
      </c>
      <c r="I41">
        <v>1.8745272969288309</v>
      </c>
      <c r="J41">
        <v>0.64605523357761452</v>
      </c>
      <c r="K41" s="6">
        <f>ABS(VLOOKUP(C41,Benchmark_Properties!$A$2:$B$16,2,FALSE)-VLOOKUP(F41,Benchmark_Properties!$A$2:$B$16,2,FALSE))</f>
        <v>25</v>
      </c>
    </row>
    <row r="42" spans="1:11" x14ac:dyDescent="0.25">
      <c r="A42">
        <v>41</v>
      </c>
      <c r="B42">
        <v>261</v>
      </c>
      <c r="C42" t="s">
        <v>34</v>
      </c>
      <c r="D42">
        <v>1</v>
      </c>
      <c r="E42">
        <v>283</v>
      </c>
      <c r="F42" t="s">
        <v>40</v>
      </c>
      <c r="G42">
        <v>2</v>
      </c>
      <c r="H42" t="b">
        <v>0</v>
      </c>
      <c r="I42">
        <v>1.8913336991464069</v>
      </c>
      <c r="J42">
        <v>0.65184755472869338</v>
      </c>
      <c r="K42" s="6">
        <f>ABS(VLOOKUP(C42,Benchmark_Properties!$A$2:$B$16,2,FALSE)-VLOOKUP(F42,Benchmark_Properties!$A$2:$B$16,2,FALSE))</f>
        <v>23</v>
      </c>
    </row>
    <row r="43" spans="1:11" x14ac:dyDescent="0.25">
      <c r="A43">
        <v>42</v>
      </c>
      <c r="B43">
        <v>111</v>
      </c>
      <c r="C43" t="s">
        <v>27</v>
      </c>
      <c r="D43">
        <v>0</v>
      </c>
      <c r="E43">
        <v>199</v>
      </c>
      <c r="F43" t="s">
        <v>38</v>
      </c>
      <c r="G43">
        <v>1</v>
      </c>
      <c r="H43" t="b">
        <v>0</v>
      </c>
      <c r="I43">
        <v>1.932460090790074</v>
      </c>
      <c r="J43">
        <v>0.66602175246008144</v>
      </c>
      <c r="K43" s="6">
        <f>ABS(VLOOKUP(C43,Benchmark_Properties!$A$2:$B$16,2,FALSE)-VLOOKUP(F43,Benchmark_Properties!$A$2:$B$16,2,FALSE))</f>
        <v>25</v>
      </c>
    </row>
    <row r="44" spans="1:11" x14ac:dyDescent="0.25">
      <c r="A44">
        <v>43</v>
      </c>
      <c r="B44">
        <v>111</v>
      </c>
      <c r="C44" t="s">
        <v>27</v>
      </c>
      <c r="D44">
        <v>0</v>
      </c>
      <c r="E44">
        <v>261</v>
      </c>
      <c r="F44" t="s">
        <v>34</v>
      </c>
      <c r="G44">
        <v>1</v>
      </c>
      <c r="H44" t="b">
        <v>0</v>
      </c>
      <c r="I44">
        <v>1.9367299592953799</v>
      </c>
      <c r="J44">
        <v>0.66749336127530701</v>
      </c>
      <c r="K44" s="6">
        <f>ABS(VLOOKUP(C44,Benchmark_Properties!$A$2:$B$16,2,FALSE)-VLOOKUP(F44,Benchmark_Properties!$A$2:$B$16,2,FALSE))</f>
        <v>10</v>
      </c>
    </row>
    <row r="45" spans="1:11" x14ac:dyDescent="0.25">
      <c r="A45">
        <v>44</v>
      </c>
      <c r="B45">
        <v>16</v>
      </c>
      <c r="C45" t="s">
        <v>37</v>
      </c>
      <c r="D45">
        <v>1</v>
      </c>
      <c r="E45">
        <v>142</v>
      </c>
      <c r="F45" t="s">
        <v>31</v>
      </c>
      <c r="G45">
        <v>0</v>
      </c>
      <c r="H45" t="b">
        <v>0</v>
      </c>
      <c r="I45">
        <v>1.941182664542193</v>
      </c>
      <c r="J45">
        <v>0.66902798471503777</v>
      </c>
      <c r="K45" s="6">
        <f>ABS(VLOOKUP(C45,Benchmark_Properties!$A$2:$B$16,2,FALSE)-VLOOKUP(F45,Benchmark_Properties!$A$2:$B$16,2,FALSE))</f>
        <v>25</v>
      </c>
    </row>
    <row r="46" spans="1:11" x14ac:dyDescent="0.25">
      <c r="A46">
        <v>45</v>
      </c>
      <c r="B46">
        <v>144</v>
      </c>
      <c r="C46" t="s">
        <v>28</v>
      </c>
      <c r="D46">
        <v>0</v>
      </c>
      <c r="E46">
        <v>261</v>
      </c>
      <c r="F46" t="s">
        <v>34</v>
      </c>
      <c r="G46">
        <v>1</v>
      </c>
      <c r="H46" t="b">
        <v>0</v>
      </c>
      <c r="I46">
        <v>1.9422892221705399</v>
      </c>
      <c r="J46">
        <v>0.66940935944786772</v>
      </c>
      <c r="K46" s="6">
        <f>ABS(VLOOKUP(C46,Benchmark_Properties!$A$2:$B$16,2,FALSE)-VLOOKUP(F46,Benchmark_Properties!$A$2:$B$16,2,FALSE))</f>
        <v>55</v>
      </c>
    </row>
    <row r="47" spans="1:11" x14ac:dyDescent="0.25">
      <c r="A47">
        <v>46</v>
      </c>
      <c r="B47">
        <v>171</v>
      </c>
      <c r="C47" t="s">
        <v>36</v>
      </c>
      <c r="D47">
        <v>2</v>
      </c>
      <c r="E47">
        <v>199</v>
      </c>
      <c r="F47" t="s">
        <v>38</v>
      </c>
      <c r="G47">
        <v>1</v>
      </c>
      <c r="H47" t="b">
        <v>0</v>
      </c>
      <c r="I47">
        <v>1.9465986448012711</v>
      </c>
      <c r="J47">
        <v>0.6708946005797749</v>
      </c>
      <c r="K47" s="6">
        <f>ABS(VLOOKUP(C47,Benchmark_Properties!$A$2:$B$16,2,FALSE)-VLOOKUP(F47,Benchmark_Properties!$A$2:$B$16,2,FALSE))</f>
        <v>39</v>
      </c>
    </row>
    <row r="48" spans="1:11" x14ac:dyDescent="0.25">
      <c r="A48">
        <v>47</v>
      </c>
      <c r="B48">
        <v>14</v>
      </c>
      <c r="C48" t="s">
        <v>35</v>
      </c>
      <c r="D48">
        <v>2</v>
      </c>
      <c r="E48">
        <v>95</v>
      </c>
      <c r="F48" t="s">
        <v>39</v>
      </c>
      <c r="G48">
        <v>2</v>
      </c>
      <c r="H48" t="b">
        <v>1</v>
      </c>
      <c r="I48">
        <v>1.961183706069793</v>
      </c>
      <c r="J48">
        <v>0.67592133728295156</v>
      </c>
      <c r="K48" s="6">
        <f>ABS(VLOOKUP(C48,Benchmark_Properties!$A$2:$B$16,2,FALSE)-VLOOKUP(F48,Benchmark_Properties!$A$2:$B$16,2,FALSE))</f>
        <v>54</v>
      </c>
    </row>
    <row r="49" spans="1:11" x14ac:dyDescent="0.25">
      <c r="A49">
        <v>48</v>
      </c>
      <c r="B49">
        <v>199</v>
      </c>
      <c r="C49" t="s">
        <v>38</v>
      </c>
      <c r="D49">
        <v>1</v>
      </c>
      <c r="E49">
        <v>283</v>
      </c>
      <c r="F49" t="s">
        <v>40</v>
      </c>
      <c r="G49">
        <v>2</v>
      </c>
      <c r="H49" t="b">
        <v>0</v>
      </c>
      <c r="I49">
        <v>1.9750962544492989</v>
      </c>
      <c r="J49">
        <v>0.68071629263393951</v>
      </c>
      <c r="K49" s="6">
        <f>ABS(VLOOKUP(C49,Benchmark_Properties!$A$2:$B$16,2,FALSE)-VLOOKUP(F49,Benchmark_Properties!$A$2:$B$16,2,FALSE))</f>
        <v>58</v>
      </c>
    </row>
    <row r="50" spans="1:11" x14ac:dyDescent="0.25">
      <c r="A50">
        <v>49</v>
      </c>
      <c r="B50">
        <v>15</v>
      </c>
      <c r="C50" t="s">
        <v>33</v>
      </c>
      <c r="D50">
        <v>1</v>
      </c>
      <c r="E50">
        <v>144</v>
      </c>
      <c r="F50" t="s">
        <v>28</v>
      </c>
      <c r="G50">
        <v>0</v>
      </c>
      <c r="H50" t="b">
        <v>0</v>
      </c>
      <c r="I50">
        <v>1.9774012730826851</v>
      </c>
      <c r="J50">
        <v>0.68151071656899387</v>
      </c>
      <c r="K50" s="6">
        <f>ABS(VLOOKUP(C50,Benchmark_Properties!$A$2:$B$16,2,FALSE)-VLOOKUP(F50,Benchmark_Properties!$A$2:$B$16,2,FALSE))</f>
        <v>29</v>
      </c>
    </row>
    <row r="51" spans="1:11" x14ac:dyDescent="0.25">
      <c r="A51">
        <v>50</v>
      </c>
      <c r="B51">
        <v>16</v>
      </c>
      <c r="C51" t="s">
        <v>37</v>
      </c>
      <c r="D51">
        <v>1</v>
      </c>
      <c r="E51">
        <v>95</v>
      </c>
      <c r="F51" t="s">
        <v>39</v>
      </c>
      <c r="G51">
        <v>2</v>
      </c>
      <c r="H51" t="b">
        <v>0</v>
      </c>
      <c r="I51">
        <v>1.9984142556026061</v>
      </c>
      <c r="J51">
        <v>0.68875283427638145</v>
      </c>
      <c r="K51" s="6">
        <f>ABS(VLOOKUP(C51,Benchmark_Properties!$A$2:$B$16,2,FALSE)-VLOOKUP(F51,Benchmark_Properties!$A$2:$B$16,2,FALSE))</f>
        <v>5</v>
      </c>
    </row>
    <row r="52" spans="1:11" x14ac:dyDescent="0.25">
      <c r="A52">
        <v>51</v>
      </c>
      <c r="B52">
        <v>95</v>
      </c>
      <c r="C52" t="s">
        <v>39</v>
      </c>
      <c r="D52">
        <v>2</v>
      </c>
      <c r="E52">
        <v>283</v>
      </c>
      <c r="F52" t="s">
        <v>40</v>
      </c>
      <c r="G52">
        <v>2</v>
      </c>
      <c r="H52" t="b">
        <v>1</v>
      </c>
      <c r="I52">
        <v>2.0286571120031689</v>
      </c>
      <c r="J52">
        <v>0.69917602506583088</v>
      </c>
      <c r="K52" s="6">
        <f>ABS(VLOOKUP(C52,Benchmark_Properties!$A$2:$B$16,2,FALSE)-VLOOKUP(F52,Benchmark_Properties!$A$2:$B$16,2,FALSE))</f>
        <v>63</v>
      </c>
    </row>
    <row r="53" spans="1:11" x14ac:dyDescent="0.25">
      <c r="A53">
        <v>52</v>
      </c>
      <c r="B53">
        <v>16</v>
      </c>
      <c r="C53" t="s">
        <v>37</v>
      </c>
      <c r="D53">
        <v>1</v>
      </c>
      <c r="E53">
        <v>17</v>
      </c>
      <c r="F53" t="s">
        <v>29</v>
      </c>
      <c r="G53">
        <v>0</v>
      </c>
      <c r="H53" t="b">
        <v>0</v>
      </c>
      <c r="I53">
        <v>2.0379956719470131</v>
      </c>
      <c r="J53">
        <v>0.70239455676482687</v>
      </c>
      <c r="K53" s="6">
        <f>ABS(VLOOKUP(C53,Benchmark_Properties!$A$2:$B$16,2,FALSE)-VLOOKUP(F53,Benchmark_Properties!$A$2:$B$16,2,FALSE))</f>
        <v>23</v>
      </c>
    </row>
    <row r="54" spans="1:11" x14ac:dyDescent="0.25">
      <c r="A54">
        <v>53</v>
      </c>
      <c r="B54">
        <v>15</v>
      </c>
      <c r="C54" t="s">
        <v>33</v>
      </c>
      <c r="D54">
        <v>1</v>
      </c>
      <c r="E54">
        <v>157</v>
      </c>
      <c r="F54" t="s">
        <v>41</v>
      </c>
      <c r="G54">
        <v>1</v>
      </c>
      <c r="H54" t="b">
        <v>1</v>
      </c>
      <c r="I54">
        <v>2.0639358843454589</v>
      </c>
      <c r="J54">
        <v>0.7113348426745536</v>
      </c>
      <c r="K54" s="6">
        <f>ABS(VLOOKUP(C54,Benchmark_Properties!$A$2:$B$16,2,FALSE)-VLOOKUP(F54,Benchmark_Properties!$A$2:$B$16,2,FALSE))</f>
        <v>30</v>
      </c>
    </row>
    <row r="55" spans="1:11" x14ac:dyDescent="0.25">
      <c r="A55">
        <v>54</v>
      </c>
      <c r="B55">
        <v>16</v>
      </c>
      <c r="C55" t="s">
        <v>37</v>
      </c>
      <c r="D55">
        <v>1</v>
      </c>
      <c r="E55">
        <v>180</v>
      </c>
      <c r="F55" t="s">
        <v>30</v>
      </c>
      <c r="G55">
        <v>0</v>
      </c>
      <c r="H55" t="b">
        <v>0</v>
      </c>
      <c r="I55">
        <v>2.0700763038685999</v>
      </c>
      <c r="J55">
        <v>0.71345113630003831</v>
      </c>
      <c r="K55" s="6">
        <f>ABS(VLOOKUP(C55,Benchmark_Properties!$A$2:$B$16,2,FALSE)-VLOOKUP(F55,Benchmark_Properties!$A$2:$B$16,2,FALSE))</f>
        <v>31</v>
      </c>
    </row>
    <row r="56" spans="1:11" x14ac:dyDescent="0.25">
      <c r="A56">
        <v>55</v>
      </c>
      <c r="B56">
        <v>95</v>
      </c>
      <c r="C56" t="s">
        <v>39</v>
      </c>
      <c r="D56">
        <v>2</v>
      </c>
      <c r="E56">
        <v>153</v>
      </c>
      <c r="F56" t="s">
        <v>32</v>
      </c>
      <c r="G56">
        <v>0</v>
      </c>
      <c r="H56" t="b">
        <v>0</v>
      </c>
      <c r="I56">
        <v>2.087096529091709</v>
      </c>
      <c r="J56">
        <v>0.71931715148161213</v>
      </c>
      <c r="K56" s="6">
        <f>ABS(VLOOKUP(C56,Benchmark_Properties!$A$2:$B$16,2,FALSE)-VLOOKUP(F56,Benchmark_Properties!$A$2:$B$16,2,FALSE))</f>
        <v>37</v>
      </c>
    </row>
    <row r="57" spans="1:11" x14ac:dyDescent="0.25">
      <c r="A57">
        <v>56</v>
      </c>
      <c r="B57">
        <v>153</v>
      </c>
      <c r="C57" t="s">
        <v>32</v>
      </c>
      <c r="D57">
        <v>0</v>
      </c>
      <c r="E57">
        <v>157</v>
      </c>
      <c r="F57" t="s">
        <v>41</v>
      </c>
      <c r="G57">
        <v>1</v>
      </c>
      <c r="H57" t="b">
        <v>0</v>
      </c>
      <c r="I57">
        <v>2.0944559539030418</v>
      </c>
      <c r="J57">
        <v>0.72185357488994162</v>
      </c>
      <c r="K57" s="6">
        <f>ABS(VLOOKUP(C57,Benchmark_Properties!$A$2:$B$16,2,FALSE)-VLOOKUP(F57,Benchmark_Properties!$A$2:$B$16,2,FALSE))</f>
        <v>7</v>
      </c>
    </row>
    <row r="58" spans="1:11" x14ac:dyDescent="0.25">
      <c r="A58">
        <v>57</v>
      </c>
      <c r="B58">
        <v>15</v>
      </c>
      <c r="C58" t="s">
        <v>33</v>
      </c>
      <c r="D58">
        <v>1</v>
      </c>
      <c r="E58">
        <v>153</v>
      </c>
      <c r="F58" t="s">
        <v>32</v>
      </c>
      <c r="G58">
        <v>0</v>
      </c>
      <c r="H58" t="b">
        <v>0</v>
      </c>
      <c r="I58">
        <v>2.094721119138252</v>
      </c>
      <c r="J58">
        <v>0.72194496400347996</v>
      </c>
      <c r="K58" s="6">
        <f>ABS(VLOOKUP(C58,Benchmark_Properties!$A$2:$B$16,2,FALSE)-VLOOKUP(F58,Benchmark_Properties!$A$2:$B$16,2,FALSE))</f>
        <v>23</v>
      </c>
    </row>
    <row r="59" spans="1:11" x14ac:dyDescent="0.25">
      <c r="A59">
        <v>58</v>
      </c>
      <c r="B59">
        <v>14</v>
      </c>
      <c r="C59" t="s">
        <v>35</v>
      </c>
      <c r="D59">
        <v>2</v>
      </c>
      <c r="E59">
        <v>261</v>
      </c>
      <c r="F59" t="s">
        <v>34</v>
      </c>
      <c r="G59">
        <v>1</v>
      </c>
      <c r="H59" t="b">
        <v>0</v>
      </c>
      <c r="I59">
        <v>2.1110679524046772</v>
      </c>
      <c r="J59">
        <v>0.72757889486247429</v>
      </c>
      <c r="K59" s="6">
        <f>ABS(VLOOKUP(C59,Benchmark_Properties!$A$2:$B$16,2,FALSE)-VLOOKUP(F59,Benchmark_Properties!$A$2:$B$16,2,FALSE))</f>
        <v>14</v>
      </c>
    </row>
    <row r="60" spans="1:11" x14ac:dyDescent="0.25">
      <c r="A60">
        <v>59</v>
      </c>
      <c r="B60">
        <v>14</v>
      </c>
      <c r="C60" t="s">
        <v>35</v>
      </c>
      <c r="D60">
        <v>2</v>
      </c>
      <c r="E60">
        <v>15</v>
      </c>
      <c r="F60" t="s">
        <v>33</v>
      </c>
      <c r="G60">
        <v>1</v>
      </c>
      <c r="H60" t="b">
        <v>0</v>
      </c>
      <c r="I60">
        <v>2.111531644053644</v>
      </c>
      <c r="J60">
        <v>0.72773870604104329</v>
      </c>
      <c r="K60" s="6">
        <f>ABS(VLOOKUP(C60,Benchmark_Properties!$A$2:$B$16,2,FALSE)-VLOOKUP(F60,Benchmark_Properties!$A$2:$B$16,2,FALSE))</f>
        <v>40</v>
      </c>
    </row>
    <row r="61" spans="1:11" x14ac:dyDescent="0.25">
      <c r="A61">
        <v>60</v>
      </c>
      <c r="B61">
        <v>157</v>
      </c>
      <c r="C61" t="s">
        <v>41</v>
      </c>
      <c r="D61">
        <v>1</v>
      </c>
      <c r="E61">
        <v>171</v>
      </c>
      <c r="F61" t="s">
        <v>36</v>
      </c>
      <c r="G61">
        <v>2</v>
      </c>
      <c r="H61" t="b">
        <v>0</v>
      </c>
      <c r="I61">
        <v>2.1322383572758699</v>
      </c>
      <c r="J61">
        <v>0.73487526813289827</v>
      </c>
      <c r="K61" s="6">
        <f>ABS(VLOOKUP(C61,Benchmark_Properties!$A$2:$B$16,2,FALSE)-VLOOKUP(F61,Benchmark_Properties!$A$2:$B$16,2,FALSE))</f>
        <v>0</v>
      </c>
    </row>
    <row r="62" spans="1:11" x14ac:dyDescent="0.25">
      <c r="A62">
        <v>61</v>
      </c>
      <c r="B62">
        <v>16</v>
      </c>
      <c r="C62" t="s">
        <v>37</v>
      </c>
      <c r="D62">
        <v>1</v>
      </c>
      <c r="E62">
        <v>144</v>
      </c>
      <c r="F62" t="s">
        <v>28</v>
      </c>
      <c r="G62">
        <v>0</v>
      </c>
      <c r="H62" t="b">
        <v>0</v>
      </c>
      <c r="I62">
        <v>2.1448694814087812</v>
      </c>
      <c r="J62">
        <v>0.73922858102698363</v>
      </c>
      <c r="K62" s="6">
        <f>ABS(VLOOKUP(C62,Benchmark_Properties!$A$2:$B$16,2,FALSE)-VLOOKUP(F62,Benchmark_Properties!$A$2:$B$16,2,FALSE))</f>
        <v>20</v>
      </c>
    </row>
    <row r="63" spans="1:11" x14ac:dyDescent="0.25">
      <c r="A63">
        <v>62</v>
      </c>
      <c r="B63">
        <v>153</v>
      </c>
      <c r="C63" t="s">
        <v>32</v>
      </c>
      <c r="D63">
        <v>0</v>
      </c>
      <c r="E63">
        <v>261</v>
      </c>
      <c r="F63" t="s">
        <v>34</v>
      </c>
      <c r="G63">
        <v>1</v>
      </c>
      <c r="H63" t="b">
        <v>0</v>
      </c>
      <c r="I63">
        <v>2.147960788674109</v>
      </c>
      <c r="J63">
        <v>0.74029399908765081</v>
      </c>
      <c r="K63" s="6">
        <f>ABS(VLOOKUP(C63,Benchmark_Properties!$A$2:$B$16,2,FALSE)-VLOOKUP(F63,Benchmark_Properties!$A$2:$B$16,2,FALSE))</f>
        <v>3</v>
      </c>
    </row>
    <row r="64" spans="1:11" x14ac:dyDescent="0.25">
      <c r="A64">
        <v>63</v>
      </c>
      <c r="B64">
        <v>95</v>
      </c>
      <c r="C64" t="s">
        <v>39</v>
      </c>
      <c r="D64">
        <v>2</v>
      </c>
      <c r="E64">
        <v>199</v>
      </c>
      <c r="F64" t="s">
        <v>38</v>
      </c>
      <c r="G64">
        <v>1</v>
      </c>
      <c r="H64" t="b">
        <v>0</v>
      </c>
      <c r="I64">
        <v>2.1479755365495419</v>
      </c>
      <c r="J64">
        <v>0.74029908193820404</v>
      </c>
      <c r="K64" s="6">
        <f>ABS(VLOOKUP(C64,Benchmark_Properties!$A$2:$B$16,2,FALSE)-VLOOKUP(F64,Benchmark_Properties!$A$2:$B$16,2,FALSE))</f>
        <v>5</v>
      </c>
    </row>
    <row r="65" spans="1:11" x14ac:dyDescent="0.25">
      <c r="A65">
        <v>64</v>
      </c>
      <c r="B65">
        <v>17</v>
      </c>
      <c r="C65" t="s">
        <v>29</v>
      </c>
      <c r="D65">
        <v>0</v>
      </c>
      <c r="E65">
        <v>95</v>
      </c>
      <c r="F65" t="s">
        <v>39</v>
      </c>
      <c r="G65">
        <v>2</v>
      </c>
      <c r="H65" t="b">
        <v>0</v>
      </c>
      <c r="I65">
        <v>2.1489737213265272</v>
      </c>
      <c r="J65">
        <v>0.74064310600245997</v>
      </c>
      <c r="K65" s="6">
        <f>ABS(VLOOKUP(C65,Benchmark_Properties!$A$2:$B$16,2,FALSE)-VLOOKUP(F65,Benchmark_Properties!$A$2:$B$16,2,FALSE))</f>
        <v>28</v>
      </c>
    </row>
    <row r="66" spans="1:11" x14ac:dyDescent="0.25">
      <c r="A66">
        <v>65</v>
      </c>
      <c r="B66">
        <v>153</v>
      </c>
      <c r="C66" t="s">
        <v>32</v>
      </c>
      <c r="D66">
        <v>0</v>
      </c>
      <c r="E66">
        <v>171</v>
      </c>
      <c r="F66" t="s">
        <v>36</v>
      </c>
      <c r="G66">
        <v>2</v>
      </c>
      <c r="H66" t="b">
        <v>0</v>
      </c>
      <c r="I66">
        <v>2.1565928736871909</v>
      </c>
      <c r="J66">
        <v>0.74326904442762831</v>
      </c>
      <c r="K66" s="6">
        <f>ABS(VLOOKUP(C66,Benchmark_Properties!$A$2:$B$16,2,FALSE)-VLOOKUP(F66,Benchmark_Properties!$A$2:$B$16,2,FALSE))</f>
        <v>7</v>
      </c>
    </row>
    <row r="67" spans="1:11" x14ac:dyDescent="0.25">
      <c r="A67">
        <v>66</v>
      </c>
      <c r="B67">
        <v>16</v>
      </c>
      <c r="C67" t="s">
        <v>37</v>
      </c>
      <c r="D67">
        <v>1</v>
      </c>
      <c r="E67">
        <v>153</v>
      </c>
      <c r="F67" t="s">
        <v>32</v>
      </c>
      <c r="G67">
        <v>0</v>
      </c>
      <c r="H67" t="b">
        <v>0</v>
      </c>
      <c r="I67">
        <v>2.209188235023527</v>
      </c>
      <c r="J67">
        <v>0.76139601889682729</v>
      </c>
      <c r="K67" s="6">
        <f>ABS(VLOOKUP(C67,Benchmark_Properties!$A$2:$B$16,2,FALSE)-VLOOKUP(F67,Benchmark_Properties!$A$2:$B$16,2,FALSE))</f>
        <v>32</v>
      </c>
    </row>
    <row r="68" spans="1:11" x14ac:dyDescent="0.25">
      <c r="A68">
        <v>67</v>
      </c>
      <c r="B68">
        <v>180</v>
      </c>
      <c r="C68" t="s">
        <v>30</v>
      </c>
      <c r="D68">
        <v>0</v>
      </c>
      <c r="E68">
        <v>199</v>
      </c>
      <c r="F68" t="s">
        <v>38</v>
      </c>
      <c r="G68">
        <v>1</v>
      </c>
      <c r="H68" t="b">
        <v>0</v>
      </c>
      <c r="I68">
        <v>2.213144420371906</v>
      </c>
      <c r="J68">
        <v>0.76275951691230637</v>
      </c>
      <c r="K68" s="6">
        <f>ABS(VLOOKUP(C68,Benchmark_Properties!$A$2:$B$16,2,FALSE)-VLOOKUP(F68,Benchmark_Properties!$A$2:$B$16,2,FALSE))</f>
        <v>31</v>
      </c>
    </row>
    <row r="69" spans="1:11" x14ac:dyDescent="0.25">
      <c r="A69">
        <v>68</v>
      </c>
      <c r="B69">
        <v>180</v>
      </c>
      <c r="C69" t="s">
        <v>30</v>
      </c>
      <c r="D69">
        <v>0</v>
      </c>
      <c r="E69">
        <v>261</v>
      </c>
      <c r="F69" t="s">
        <v>34</v>
      </c>
      <c r="G69">
        <v>1</v>
      </c>
      <c r="H69" t="b">
        <v>0</v>
      </c>
      <c r="I69">
        <v>2.2265161831704932</v>
      </c>
      <c r="J69">
        <v>0.76736809068572598</v>
      </c>
      <c r="K69" s="6">
        <f>ABS(VLOOKUP(C69,Benchmark_Properties!$A$2:$B$16,2,FALSE)-VLOOKUP(F69,Benchmark_Properties!$A$2:$B$16,2,FALSE))</f>
        <v>4</v>
      </c>
    </row>
    <row r="70" spans="1:11" x14ac:dyDescent="0.25">
      <c r="A70">
        <v>69</v>
      </c>
      <c r="B70">
        <v>111</v>
      </c>
      <c r="C70" t="s">
        <v>27</v>
      </c>
      <c r="D70">
        <v>0</v>
      </c>
      <c r="E70">
        <v>171</v>
      </c>
      <c r="F70" t="s">
        <v>36</v>
      </c>
      <c r="G70">
        <v>2</v>
      </c>
      <c r="H70" t="b">
        <v>0</v>
      </c>
      <c r="I70">
        <v>2.2273207785900442</v>
      </c>
      <c r="J70">
        <v>0.76764539423983547</v>
      </c>
      <c r="K70" s="6">
        <f>ABS(VLOOKUP(C70,Benchmark_Properties!$A$2:$B$16,2,FALSE)-VLOOKUP(F70,Benchmark_Properties!$A$2:$B$16,2,FALSE))</f>
        <v>14</v>
      </c>
    </row>
    <row r="71" spans="1:11" x14ac:dyDescent="0.25">
      <c r="A71">
        <v>70</v>
      </c>
      <c r="B71">
        <v>14</v>
      </c>
      <c r="C71" t="s">
        <v>35</v>
      </c>
      <c r="D71">
        <v>2</v>
      </c>
      <c r="E71">
        <v>199</v>
      </c>
      <c r="F71" t="s">
        <v>38</v>
      </c>
      <c r="G71">
        <v>1</v>
      </c>
      <c r="H71" t="b">
        <v>0</v>
      </c>
      <c r="I71">
        <v>2.2291642894864641</v>
      </c>
      <c r="J71">
        <v>0.76828075968089382</v>
      </c>
      <c r="K71" s="6">
        <f>ABS(VLOOKUP(C71,Benchmark_Properties!$A$2:$B$16,2,FALSE)-VLOOKUP(F71,Benchmark_Properties!$A$2:$B$16,2,FALSE))</f>
        <v>49</v>
      </c>
    </row>
    <row r="72" spans="1:11" x14ac:dyDescent="0.25">
      <c r="A72">
        <v>71</v>
      </c>
      <c r="B72">
        <v>17</v>
      </c>
      <c r="C72" t="s">
        <v>29</v>
      </c>
      <c r="D72">
        <v>0</v>
      </c>
      <c r="E72">
        <v>199</v>
      </c>
      <c r="F72" t="s">
        <v>38</v>
      </c>
      <c r="G72">
        <v>1</v>
      </c>
      <c r="H72" t="b">
        <v>0</v>
      </c>
      <c r="I72">
        <v>2.2314116065008438</v>
      </c>
      <c r="J72">
        <v>0.76905529677140583</v>
      </c>
      <c r="K72" s="6">
        <f>ABS(VLOOKUP(C72,Benchmark_Properties!$A$2:$B$16,2,FALSE)-VLOOKUP(F72,Benchmark_Properties!$A$2:$B$16,2,FALSE))</f>
        <v>23</v>
      </c>
    </row>
    <row r="73" spans="1:11" x14ac:dyDescent="0.25">
      <c r="A73">
        <v>72</v>
      </c>
      <c r="B73">
        <v>142</v>
      </c>
      <c r="C73" t="s">
        <v>31</v>
      </c>
      <c r="D73">
        <v>0</v>
      </c>
      <c r="E73">
        <v>157</v>
      </c>
      <c r="F73" t="s">
        <v>41</v>
      </c>
      <c r="G73">
        <v>1</v>
      </c>
      <c r="H73" t="b">
        <v>0</v>
      </c>
      <c r="I73">
        <v>2.2343818116668328</v>
      </c>
      <c r="J73">
        <v>0.77007897703225348</v>
      </c>
      <c r="K73" s="6">
        <f>ABS(VLOOKUP(C73,Benchmark_Properties!$A$2:$B$16,2,FALSE)-VLOOKUP(F73,Benchmark_Properties!$A$2:$B$16,2,FALSE))</f>
        <v>14</v>
      </c>
    </row>
    <row r="74" spans="1:11" x14ac:dyDescent="0.25">
      <c r="A74">
        <v>73</v>
      </c>
      <c r="B74">
        <v>142</v>
      </c>
      <c r="C74" t="s">
        <v>31</v>
      </c>
      <c r="D74">
        <v>0</v>
      </c>
      <c r="E74">
        <v>199</v>
      </c>
      <c r="F74" t="s">
        <v>38</v>
      </c>
      <c r="G74">
        <v>1</v>
      </c>
      <c r="H74" t="b">
        <v>0</v>
      </c>
      <c r="I74">
        <v>2.247224716272878</v>
      </c>
      <c r="J74">
        <v>0.77450527999869601</v>
      </c>
      <c r="K74" s="6">
        <f>ABS(VLOOKUP(C74,Benchmark_Properties!$A$2:$B$16,2,FALSE)-VLOOKUP(F74,Benchmark_Properties!$A$2:$B$16,2,FALSE))</f>
        <v>25</v>
      </c>
    </row>
    <row r="75" spans="1:11" x14ac:dyDescent="0.25">
      <c r="A75">
        <v>74</v>
      </c>
      <c r="B75">
        <v>16</v>
      </c>
      <c r="C75" t="s">
        <v>37</v>
      </c>
      <c r="D75">
        <v>1</v>
      </c>
      <c r="E75">
        <v>157</v>
      </c>
      <c r="F75" t="s">
        <v>41</v>
      </c>
      <c r="G75">
        <v>1</v>
      </c>
      <c r="H75" t="b">
        <v>1</v>
      </c>
      <c r="I75">
        <v>2.248082866456905</v>
      </c>
      <c r="J75">
        <v>0.77480104118525983</v>
      </c>
      <c r="K75" s="6">
        <f>ABS(VLOOKUP(C75,Benchmark_Properties!$A$2:$B$16,2,FALSE)-VLOOKUP(F75,Benchmark_Properties!$A$2:$B$16,2,FALSE))</f>
        <v>39</v>
      </c>
    </row>
    <row r="76" spans="1:11" x14ac:dyDescent="0.25">
      <c r="A76">
        <v>75</v>
      </c>
      <c r="B76">
        <v>153</v>
      </c>
      <c r="C76" t="s">
        <v>32</v>
      </c>
      <c r="D76">
        <v>0</v>
      </c>
      <c r="E76">
        <v>199</v>
      </c>
      <c r="F76" t="s">
        <v>38</v>
      </c>
      <c r="G76">
        <v>1</v>
      </c>
      <c r="H76" t="b">
        <v>0</v>
      </c>
      <c r="I76">
        <v>2.253520153371388</v>
      </c>
      <c r="J76">
        <v>0.77667500038197057</v>
      </c>
      <c r="K76" s="6">
        <f>ABS(VLOOKUP(C76,Benchmark_Properties!$A$2:$B$16,2,FALSE)-VLOOKUP(F76,Benchmark_Properties!$A$2:$B$16,2,FALSE))</f>
        <v>32</v>
      </c>
    </row>
    <row r="77" spans="1:11" x14ac:dyDescent="0.25">
      <c r="A77">
        <v>76</v>
      </c>
      <c r="B77">
        <v>142</v>
      </c>
      <c r="C77" t="s">
        <v>31</v>
      </c>
      <c r="D77">
        <v>0</v>
      </c>
      <c r="E77">
        <v>261</v>
      </c>
      <c r="F77" t="s">
        <v>34</v>
      </c>
      <c r="G77">
        <v>1</v>
      </c>
      <c r="H77" t="b">
        <v>0</v>
      </c>
      <c r="I77">
        <v>2.256127492562721</v>
      </c>
      <c r="J77">
        <v>0.77757361900066602</v>
      </c>
      <c r="K77" s="6">
        <f>ABS(VLOOKUP(C77,Benchmark_Properties!$A$2:$B$16,2,FALSE)-VLOOKUP(F77,Benchmark_Properties!$A$2:$B$16,2,FALSE))</f>
        <v>10</v>
      </c>
    </row>
    <row r="78" spans="1:11" x14ac:dyDescent="0.25">
      <c r="A78">
        <v>77</v>
      </c>
      <c r="B78">
        <v>142</v>
      </c>
      <c r="C78" t="s">
        <v>31</v>
      </c>
      <c r="D78">
        <v>0</v>
      </c>
      <c r="E78">
        <v>171</v>
      </c>
      <c r="F78" t="s">
        <v>36</v>
      </c>
      <c r="G78">
        <v>2</v>
      </c>
      <c r="H78" t="b">
        <v>0</v>
      </c>
      <c r="I78">
        <v>2.2771089708820851</v>
      </c>
      <c r="J78">
        <v>0.78480487879540384</v>
      </c>
      <c r="K78" s="6">
        <f>ABS(VLOOKUP(C78,Benchmark_Properties!$A$2:$B$16,2,FALSE)-VLOOKUP(F78,Benchmark_Properties!$A$2:$B$16,2,FALSE))</f>
        <v>14</v>
      </c>
    </row>
    <row r="79" spans="1:11" x14ac:dyDescent="0.25">
      <c r="A79">
        <v>78</v>
      </c>
      <c r="B79">
        <v>95</v>
      </c>
      <c r="C79" t="s">
        <v>39</v>
      </c>
      <c r="D79">
        <v>2</v>
      </c>
      <c r="E79">
        <v>157</v>
      </c>
      <c r="F79" t="s">
        <v>41</v>
      </c>
      <c r="G79">
        <v>1</v>
      </c>
      <c r="H79" t="b">
        <v>0</v>
      </c>
      <c r="I79">
        <v>2.2848797931046239</v>
      </c>
      <c r="J79">
        <v>0.78748309018997653</v>
      </c>
      <c r="K79" s="6">
        <f>ABS(VLOOKUP(C79,Benchmark_Properties!$A$2:$B$16,2,FALSE)-VLOOKUP(F79,Benchmark_Properties!$A$2:$B$16,2,FALSE))</f>
        <v>44</v>
      </c>
    </row>
    <row r="80" spans="1:11" x14ac:dyDescent="0.25">
      <c r="A80">
        <v>79</v>
      </c>
      <c r="B80">
        <v>95</v>
      </c>
      <c r="C80" t="s">
        <v>39</v>
      </c>
      <c r="D80">
        <v>2</v>
      </c>
      <c r="E80">
        <v>111</v>
      </c>
      <c r="F80" t="s">
        <v>27</v>
      </c>
      <c r="G80">
        <v>0</v>
      </c>
      <c r="H80" t="b">
        <v>0</v>
      </c>
      <c r="I80">
        <v>2.2962078997223432</v>
      </c>
      <c r="J80">
        <v>0.79138731851404165</v>
      </c>
      <c r="K80" s="6">
        <f>ABS(VLOOKUP(C80,Benchmark_Properties!$A$2:$B$16,2,FALSE)-VLOOKUP(F80,Benchmark_Properties!$A$2:$B$16,2,FALSE))</f>
        <v>30</v>
      </c>
    </row>
    <row r="81" spans="1:11" x14ac:dyDescent="0.25">
      <c r="A81">
        <v>80</v>
      </c>
      <c r="B81">
        <v>111</v>
      </c>
      <c r="C81" t="s">
        <v>27</v>
      </c>
      <c r="D81">
        <v>0</v>
      </c>
      <c r="E81">
        <v>157</v>
      </c>
      <c r="F81" t="s">
        <v>41</v>
      </c>
      <c r="G81">
        <v>1</v>
      </c>
      <c r="H81" t="b">
        <v>0</v>
      </c>
      <c r="I81">
        <v>2.327150889729626</v>
      </c>
      <c r="J81">
        <v>0.80205181012720606</v>
      </c>
      <c r="K81" s="6">
        <f>ABS(VLOOKUP(C81,Benchmark_Properties!$A$2:$B$16,2,FALSE)-VLOOKUP(F81,Benchmark_Properties!$A$2:$B$16,2,FALSE))</f>
        <v>14</v>
      </c>
    </row>
    <row r="82" spans="1:11" x14ac:dyDescent="0.25">
      <c r="A82">
        <v>81</v>
      </c>
      <c r="B82">
        <v>95</v>
      </c>
      <c r="C82" t="s">
        <v>39</v>
      </c>
      <c r="D82">
        <v>2</v>
      </c>
      <c r="E82">
        <v>180</v>
      </c>
      <c r="F82" t="s">
        <v>30</v>
      </c>
      <c r="G82">
        <v>0</v>
      </c>
      <c r="H82" t="b">
        <v>0</v>
      </c>
      <c r="I82">
        <v>2.3379319547668711</v>
      </c>
      <c r="J82">
        <v>0.80576750074545633</v>
      </c>
      <c r="K82" s="6">
        <f>ABS(VLOOKUP(C82,Benchmark_Properties!$A$2:$B$16,2,FALSE)-VLOOKUP(F82,Benchmark_Properties!$A$2:$B$16,2,FALSE))</f>
        <v>36</v>
      </c>
    </row>
    <row r="83" spans="1:11" x14ac:dyDescent="0.25">
      <c r="A83">
        <v>82</v>
      </c>
      <c r="B83">
        <v>17</v>
      </c>
      <c r="C83" t="s">
        <v>29</v>
      </c>
      <c r="D83">
        <v>0</v>
      </c>
      <c r="E83">
        <v>157</v>
      </c>
      <c r="F83" t="s">
        <v>41</v>
      </c>
      <c r="G83">
        <v>1</v>
      </c>
      <c r="H83" t="b">
        <v>0</v>
      </c>
      <c r="I83">
        <v>2.3616586057420328</v>
      </c>
      <c r="J83">
        <v>0.81394488341835047</v>
      </c>
      <c r="K83" s="6">
        <f>ABS(VLOOKUP(C83,Benchmark_Properties!$A$2:$B$16,2,FALSE)-VLOOKUP(F83,Benchmark_Properties!$A$2:$B$16,2,FALSE))</f>
        <v>16</v>
      </c>
    </row>
    <row r="84" spans="1:11" x14ac:dyDescent="0.25">
      <c r="A84">
        <v>83</v>
      </c>
      <c r="B84">
        <v>17</v>
      </c>
      <c r="C84" t="s">
        <v>29</v>
      </c>
      <c r="D84">
        <v>0</v>
      </c>
      <c r="E84">
        <v>171</v>
      </c>
      <c r="F84" t="s">
        <v>36</v>
      </c>
      <c r="G84">
        <v>2</v>
      </c>
      <c r="H84" t="b">
        <v>0</v>
      </c>
      <c r="I84">
        <v>2.370778110864999</v>
      </c>
      <c r="J84">
        <v>0.81708791794336522</v>
      </c>
      <c r="K84" s="6">
        <f>ABS(VLOOKUP(C84,Benchmark_Properties!$A$2:$B$16,2,FALSE)-VLOOKUP(F84,Benchmark_Properties!$A$2:$B$16,2,FALSE))</f>
        <v>16</v>
      </c>
    </row>
    <row r="85" spans="1:11" x14ac:dyDescent="0.25">
      <c r="A85">
        <v>84</v>
      </c>
      <c r="B85">
        <v>95</v>
      </c>
      <c r="C85" t="s">
        <v>39</v>
      </c>
      <c r="D85">
        <v>2</v>
      </c>
      <c r="E85">
        <v>144</v>
      </c>
      <c r="F85" t="s">
        <v>28</v>
      </c>
      <c r="G85">
        <v>0</v>
      </c>
      <c r="H85" t="b">
        <v>0</v>
      </c>
      <c r="I85">
        <v>2.4158841674235529</v>
      </c>
      <c r="J85">
        <v>0.8326337059153226</v>
      </c>
      <c r="K85" s="6">
        <f>ABS(VLOOKUP(C85,Benchmark_Properties!$A$2:$B$16,2,FALSE)-VLOOKUP(F85,Benchmark_Properties!$A$2:$B$16,2,FALSE))</f>
        <v>15</v>
      </c>
    </row>
    <row r="86" spans="1:11" x14ac:dyDescent="0.25">
      <c r="A86">
        <v>85</v>
      </c>
      <c r="B86">
        <v>144</v>
      </c>
      <c r="C86" t="s">
        <v>28</v>
      </c>
      <c r="D86">
        <v>0</v>
      </c>
      <c r="E86">
        <v>171</v>
      </c>
      <c r="F86" t="s">
        <v>36</v>
      </c>
      <c r="G86">
        <v>2</v>
      </c>
      <c r="H86" t="b">
        <v>0</v>
      </c>
      <c r="I86">
        <v>2.4197970480459459</v>
      </c>
      <c r="J86">
        <v>0.83398227897083521</v>
      </c>
      <c r="K86" s="6">
        <f>ABS(VLOOKUP(C86,Benchmark_Properties!$A$2:$B$16,2,FALSE)-VLOOKUP(F86,Benchmark_Properties!$A$2:$B$16,2,FALSE))</f>
        <v>59</v>
      </c>
    </row>
    <row r="87" spans="1:11" x14ac:dyDescent="0.25">
      <c r="A87">
        <v>86</v>
      </c>
      <c r="B87">
        <v>171</v>
      </c>
      <c r="C87" t="s">
        <v>36</v>
      </c>
      <c r="D87">
        <v>2</v>
      </c>
      <c r="E87">
        <v>180</v>
      </c>
      <c r="F87" t="s">
        <v>30</v>
      </c>
      <c r="G87">
        <v>0</v>
      </c>
      <c r="H87" t="b">
        <v>0</v>
      </c>
      <c r="I87">
        <v>2.4254289703034742</v>
      </c>
      <c r="J87">
        <v>0.83592331917629914</v>
      </c>
      <c r="K87" s="6">
        <f>ABS(VLOOKUP(C87,Benchmark_Properties!$A$2:$B$16,2,FALSE)-VLOOKUP(F87,Benchmark_Properties!$A$2:$B$16,2,FALSE))</f>
        <v>8</v>
      </c>
    </row>
    <row r="88" spans="1:11" x14ac:dyDescent="0.25">
      <c r="A88">
        <v>87</v>
      </c>
      <c r="B88">
        <v>142</v>
      </c>
      <c r="C88" t="s">
        <v>31</v>
      </c>
      <c r="D88">
        <v>0</v>
      </c>
      <c r="E88">
        <v>283</v>
      </c>
      <c r="F88" t="s">
        <v>40</v>
      </c>
      <c r="G88">
        <v>2</v>
      </c>
      <c r="H88" t="b">
        <v>0</v>
      </c>
      <c r="I88">
        <v>2.4615571438716191</v>
      </c>
      <c r="J88">
        <v>0.84837488264594874</v>
      </c>
      <c r="K88" s="6">
        <f>ABS(VLOOKUP(C88,Benchmark_Properties!$A$2:$B$16,2,FALSE)-VLOOKUP(F88,Benchmark_Properties!$A$2:$B$16,2,FALSE))</f>
        <v>33</v>
      </c>
    </row>
    <row r="89" spans="1:11" x14ac:dyDescent="0.25">
      <c r="A89">
        <v>88</v>
      </c>
      <c r="B89">
        <v>157</v>
      </c>
      <c r="C89" t="s">
        <v>41</v>
      </c>
      <c r="D89">
        <v>1</v>
      </c>
      <c r="E89">
        <v>261</v>
      </c>
      <c r="F89" t="s">
        <v>34</v>
      </c>
      <c r="G89">
        <v>1</v>
      </c>
      <c r="H89" t="b">
        <v>1</v>
      </c>
      <c r="I89">
        <v>2.4656377840360508</v>
      </c>
      <c r="J89">
        <v>0.84978127397399061</v>
      </c>
      <c r="K89" s="6">
        <f>ABS(VLOOKUP(C89,Benchmark_Properties!$A$2:$B$16,2,FALSE)-VLOOKUP(F89,Benchmark_Properties!$A$2:$B$16,2,FALSE))</f>
        <v>4</v>
      </c>
    </row>
    <row r="90" spans="1:11" x14ac:dyDescent="0.25">
      <c r="A90">
        <v>89</v>
      </c>
      <c r="B90">
        <v>144</v>
      </c>
      <c r="C90" t="s">
        <v>28</v>
      </c>
      <c r="D90">
        <v>0</v>
      </c>
      <c r="E90">
        <v>157</v>
      </c>
      <c r="F90" t="s">
        <v>41</v>
      </c>
      <c r="G90">
        <v>1</v>
      </c>
      <c r="H90" t="b">
        <v>0</v>
      </c>
      <c r="I90">
        <v>2.4855615480766931</v>
      </c>
      <c r="J90">
        <v>0.85664799288073123</v>
      </c>
      <c r="K90" s="6">
        <f>ABS(VLOOKUP(C90,Benchmark_Properties!$A$2:$B$16,2,FALSE)-VLOOKUP(F90,Benchmark_Properties!$A$2:$B$16,2,FALSE))</f>
        <v>59</v>
      </c>
    </row>
    <row r="91" spans="1:11" x14ac:dyDescent="0.25">
      <c r="A91">
        <v>90</v>
      </c>
      <c r="B91">
        <v>157</v>
      </c>
      <c r="C91" t="s">
        <v>41</v>
      </c>
      <c r="D91">
        <v>1</v>
      </c>
      <c r="E91">
        <v>199</v>
      </c>
      <c r="F91" t="s">
        <v>38</v>
      </c>
      <c r="G91">
        <v>1</v>
      </c>
      <c r="H91" t="b">
        <v>1</v>
      </c>
      <c r="I91">
        <v>2.5215936475371481</v>
      </c>
      <c r="J91">
        <v>0.86906644443988157</v>
      </c>
      <c r="K91" s="6">
        <f>ABS(VLOOKUP(C91,Benchmark_Properties!$A$2:$B$16,2,FALSE)-VLOOKUP(F91,Benchmark_Properties!$A$2:$B$16,2,FALSE))</f>
        <v>39</v>
      </c>
    </row>
    <row r="92" spans="1:11" x14ac:dyDescent="0.25">
      <c r="A92">
        <v>91</v>
      </c>
      <c r="B92">
        <v>157</v>
      </c>
      <c r="C92" t="s">
        <v>41</v>
      </c>
      <c r="D92">
        <v>1</v>
      </c>
      <c r="E92">
        <v>283</v>
      </c>
      <c r="F92" t="s">
        <v>40</v>
      </c>
      <c r="G92">
        <v>2</v>
      </c>
      <c r="H92" t="b">
        <v>0</v>
      </c>
      <c r="I92">
        <v>2.5258524796290192</v>
      </c>
      <c r="J92">
        <v>0.87053424955874514</v>
      </c>
      <c r="K92" s="6">
        <f>ABS(VLOOKUP(C92,Benchmark_Properties!$A$2:$B$16,2,FALSE)-VLOOKUP(F92,Benchmark_Properties!$A$2:$B$16,2,FALSE))</f>
        <v>19</v>
      </c>
    </row>
    <row r="93" spans="1:11" x14ac:dyDescent="0.25">
      <c r="A93">
        <v>92</v>
      </c>
      <c r="B93">
        <v>95</v>
      </c>
      <c r="C93" t="s">
        <v>39</v>
      </c>
      <c r="D93">
        <v>2</v>
      </c>
      <c r="E93">
        <v>142</v>
      </c>
      <c r="F93" t="s">
        <v>31</v>
      </c>
      <c r="G93">
        <v>0</v>
      </c>
      <c r="H93" t="b">
        <v>0</v>
      </c>
      <c r="I93">
        <v>2.5446113867737248</v>
      </c>
      <c r="J93">
        <v>0.87699950090871992</v>
      </c>
      <c r="K93" s="6">
        <f>ABS(VLOOKUP(C93,Benchmark_Properties!$A$2:$B$16,2,FALSE)-VLOOKUP(F93,Benchmark_Properties!$A$2:$B$16,2,FALSE))</f>
        <v>30</v>
      </c>
    </row>
    <row r="94" spans="1:11" x14ac:dyDescent="0.25">
      <c r="A94">
        <v>93</v>
      </c>
      <c r="B94">
        <v>111</v>
      </c>
      <c r="C94" t="s">
        <v>27</v>
      </c>
      <c r="D94">
        <v>0</v>
      </c>
      <c r="E94">
        <v>283</v>
      </c>
      <c r="F94" t="s">
        <v>40</v>
      </c>
      <c r="G94">
        <v>2</v>
      </c>
      <c r="H94" t="b">
        <v>0</v>
      </c>
      <c r="I94">
        <v>2.556514367384171</v>
      </c>
      <c r="J94">
        <v>0.88110185937058427</v>
      </c>
      <c r="K94" s="6">
        <f>ABS(VLOOKUP(C94,Benchmark_Properties!$A$2:$B$16,2,FALSE)-VLOOKUP(F94,Benchmark_Properties!$A$2:$B$16,2,FALSE))</f>
        <v>33</v>
      </c>
    </row>
    <row r="95" spans="1:11" x14ac:dyDescent="0.25">
      <c r="A95">
        <v>94</v>
      </c>
      <c r="B95">
        <v>17</v>
      </c>
      <c r="C95" t="s">
        <v>29</v>
      </c>
      <c r="D95">
        <v>0</v>
      </c>
      <c r="E95">
        <v>283</v>
      </c>
      <c r="F95" t="s">
        <v>40</v>
      </c>
      <c r="G95">
        <v>2</v>
      </c>
      <c r="H95" t="b">
        <v>0</v>
      </c>
      <c r="I95">
        <v>2.5837223784918879</v>
      </c>
      <c r="J95">
        <v>0.89047909170013095</v>
      </c>
      <c r="K95" s="6">
        <f>ABS(VLOOKUP(C95,Benchmark_Properties!$A$2:$B$16,2,FALSE)-VLOOKUP(F95,Benchmark_Properties!$A$2:$B$16,2,FALSE))</f>
        <v>35</v>
      </c>
    </row>
    <row r="96" spans="1:11" x14ac:dyDescent="0.25">
      <c r="A96">
        <v>95</v>
      </c>
      <c r="B96">
        <v>157</v>
      </c>
      <c r="C96" t="s">
        <v>41</v>
      </c>
      <c r="D96">
        <v>1</v>
      </c>
      <c r="E96">
        <v>180</v>
      </c>
      <c r="F96" t="s">
        <v>30</v>
      </c>
      <c r="G96">
        <v>0</v>
      </c>
      <c r="H96" t="b">
        <v>0</v>
      </c>
      <c r="I96">
        <v>2.5873607520779949</v>
      </c>
      <c r="J96">
        <v>0.89173305599335095</v>
      </c>
      <c r="K96" s="6">
        <f>ABS(VLOOKUP(C96,Benchmark_Properties!$A$2:$B$16,2,FALSE)-VLOOKUP(F96,Benchmark_Properties!$A$2:$B$16,2,FALSE))</f>
        <v>8</v>
      </c>
    </row>
    <row r="97" spans="1:11" x14ac:dyDescent="0.25">
      <c r="A97">
        <v>96</v>
      </c>
      <c r="B97">
        <v>14</v>
      </c>
      <c r="C97" t="s">
        <v>35</v>
      </c>
      <c r="D97">
        <v>2</v>
      </c>
      <c r="E97">
        <v>111</v>
      </c>
      <c r="F97" t="s">
        <v>27</v>
      </c>
      <c r="G97">
        <v>0</v>
      </c>
      <c r="H97" t="b">
        <v>0</v>
      </c>
      <c r="I97">
        <v>2.5926501069505821</v>
      </c>
      <c r="J97">
        <v>0.89355603045911758</v>
      </c>
      <c r="K97" s="6">
        <f>ABS(VLOOKUP(C97,Benchmark_Properties!$A$2:$B$16,2,FALSE)-VLOOKUP(F97,Benchmark_Properties!$A$2:$B$16,2,FALSE))</f>
        <v>24</v>
      </c>
    </row>
    <row r="98" spans="1:11" x14ac:dyDescent="0.25">
      <c r="A98">
        <v>97</v>
      </c>
      <c r="B98">
        <v>144</v>
      </c>
      <c r="C98" t="s">
        <v>28</v>
      </c>
      <c r="D98">
        <v>0</v>
      </c>
      <c r="E98">
        <v>283</v>
      </c>
      <c r="F98" t="s">
        <v>40</v>
      </c>
      <c r="G98">
        <v>2</v>
      </c>
      <c r="H98" t="b">
        <v>0</v>
      </c>
      <c r="I98">
        <v>2.5939035230038119</v>
      </c>
      <c r="J98">
        <v>0.89398801990113108</v>
      </c>
      <c r="K98" s="6">
        <f>ABS(VLOOKUP(C98,Benchmark_Properties!$A$2:$B$16,2,FALSE)-VLOOKUP(F98,Benchmark_Properties!$A$2:$B$16,2,FALSE))</f>
        <v>78</v>
      </c>
    </row>
    <row r="99" spans="1:11" x14ac:dyDescent="0.25">
      <c r="A99">
        <v>98</v>
      </c>
      <c r="B99">
        <v>14</v>
      </c>
      <c r="C99" t="s">
        <v>35</v>
      </c>
      <c r="D99">
        <v>2</v>
      </c>
      <c r="E99">
        <v>17</v>
      </c>
      <c r="F99" t="s">
        <v>29</v>
      </c>
      <c r="G99">
        <v>0</v>
      </c>
      <c r="H99" t="b">
        <v>0</v>
      </c>
      <c r="I99">
        <v>2.6696518836439531</v>
      </c>
      <c r="J99">
        <v>0.92009466817809427</v>
      </c>
      <c r="K99" s="6">
        <f>ABS(VLOOKUP(C99,Benchmark_Properties!$A$2:$B$16,2,FALSE)-VLOOKUP(F99,Benchmark_Properties!$A$2:$B$16,2,FALSE))</f>
        <v>26</v>
      </c>
    </row>
    <row r="100" spans="1:11" x14ac:dyDescent="0.25">
      <c r="A100">
        <v>99</v>
      </c>
      <c r="B100">
        <v>14</v>
      </c>
      <c r="C100" t="s">
        <v>35</v>
      </c>
      <c r="D100">
        <v>2</v>
      </c>
      <c r="E100">
        <v>153</v>
      </c>
      <c r="F100" t="s">
        <v>32</v>
      </c>
      <c r="G100">
        <v>0</v>
      </c>
      <c r="H100" t="b">
        <v>0</v>
      </c>
      <c r="I100">
        <v>2.732397701623325</v>
      </c>
      <c r="J100">
        <v>0.94171999428409281</v>
      </c>
      <c r="K100" s="6">
        <f>ABS(VLOOKUP(C100,Benchmark_Properties!$A$2:$B$16,2,FALSE)-VLOOKUP(F100,Benchmark_Properties!$A$2:$B$16,2,FALSE))</f>
        <v>17</v>
      </c>
    </row>
    <row r="101" spans="1:11" x14ac:dyDescent="0.25">
      <c r="A101">
        <v>100</v>
      </c>
      <c r="B101">
        <v>14</v>
      </c>
      <c r="C101" t="s">
        <v>35</v>
      </c>
      <c r="D101">
        <v>2</v>
      </c>
      <c r="E101">
        <v>180</v>
      </c>
      <c r="F101" t="s">
        <v>30</v>
      </c>
      <c r="G101">
        <v>0</v>
      </c>
      <c r="H101" t="b">
        <v>0</v>
      </c>
      <c r="I101">
        <v>2.7935789373760809</v>
      </c>
      <c r="J101">
        <v>0.96280608762590381</v>
      </c>
      <c r="K101" s="6">
        <f>ABS(VLOOKUP(C101,Benchmark_Properties!$A$2:$B$16,2,FALSE)-VLOOKUP(F101,Benchmark_Properties!$A$2:$B$16,2,FALSE))</f>
        <v>18</v>
      </c>
    </row>
    <row r="102" spans="1:11" x14ac:dyDescent="0.25">
      <c r="A102">
        <v>101</v>
      </c>
      <c r="B102">
        <v>14</v>
      </c>
      <c r="C102" t="s">
        <v>35</v>
      </c>
      <c r="D102">
        <v>2</v>
      </c>
      <c r="E102">
        <v>157</v>
      </c>
      <c r="F102" t="s">
        <v>41</v>
      </c>
      <c r="G102">
        <v>1</v>
      </c>
      <c r="H102" t="b">
        <v>0</v>
      </c>
      <c r="I102">
        <v>2.796853762301025</v>
      </c>
      <c r="J102">
        <v>0.9639347549892846</v>
      </c>
      <c r="K102" s="6">
        <f>ABS(VLOOKUP(C102,Benchmark_Properties!$A$2:$B$16,2,FALSE)-VLOOKUP(F102,Benchmark_Properties!$A$2:$B$16,2,FALSE))</f>
        <v>10</v>
      </c>
    </row>
    <row r="103" spans="1:11" x14ac:dyDescent="0.25">
      <c r="A103">
        <v>102</v>
      </c>
      <c r="B103">
        <v>180</v>
      </c>
      <c r="C103" t="s">
        <v>30</v>
      </c>
      <c r="D103">
        <v>0</v>
      </c>
      <c r="E103">
        <v>283</v>
      </c>
      <c r="F103" t="s">
        <v>40</v>
      </c>
      <c r="G103">
        <v>2</v>
      </c>
      <c r="H103" t="b">
        <v>0</v>
      </c>
      <c r="I103">
        <v>2.802865031863071</v>
      </c>
      <c r="J103">
        <v>0.96600653712196882</v>
      </c>
      <c r="K103" s="6">
        <f>ABS(VLOOKUP(C103,Benchmark_Properties!$A$2:$B$16,2,FALSE)-VLOOKUP(F103,Benchmark_Properties!$A$2:$B$16,2,FALSE))</f>
        <v>27</v>
      </c>
    </row>
    <row r="104" spans="1:11" x14ac:dyDescent="0.25">
      <c r="A104">
        <v>103</v>
      </c>
      <c r="B104">
        <v>14</v>
      </c>
      <c r="C104" t="s">
        <v>35</v>
      </c>
      <c r="D104">
        <v>2</v>
      </c>
      <c r="E104">
        <v>142</v>
      </c>
      <c r="F104" t="s">
        <v>31</v>
      </c>
      <c r="G104">
        <v>0</v>
      </c>
      <c r="H104" t="b">
        <v>0</v>
      </c>
      <c r="I104">
        <v>2.8306437780989602</v>
      </c>
      <c r="J104">
        <v>0.97558047313096885</v>
      </c>
      <c r="K104" s="6">
        <f>ABS(VLOOKUP(C104,Benchmark_Properties!$A$2:$B$16,2,FALSE)-VLOOKUP(F104,Benchmark_Properties!$A$2:$B$16,2,FALSE))</f>
        <v>24</v>
      </c>
    </row>
    <row r="105" spans="1:11" x14ac:dyDescent="0.25">
      <c r="A105">
        <v>104</v>
      </c>
      <c r="B105">
        <v>153</v>
      </c>
      <c r="C105" t="s">
        <v>32</v>
      </c>
      <c r="D105">
        <v>0</v>
      </c>
      <c r="E105">
        <v>283</v>
      </c>
      <c r="F105" t="s">
        <v>40</v>
      </c>
      <c r="G105">
        <v>2</v>
      </c>
      <c r="H105" t="b">
        <v>0</v>
      </c>
      <c r="I105">
        <v>2.8720309648543472</v>
      </c>
      <c r="J105">
        <v>0.98984455381423209</v>
      </c>
      <c r="K105" s="6">
        <f>ABS(VLOOKUP(C105,Benchmark_Properties!$A$2:$B$16,2,FALSE)-VLOOKUP(F105,Benchmark_Properties!$A$2:$B$16,2,FALSE))</f>
        <v>26</v>
      </c>
    </row>
    <row r="106" spans="1:11" x14ac:dyDescent="0.25">
      <c r="A106">
        <v>105</v>
      </c>
      <c r="B106">
        <v>14</v>
      </c>
      <c r="C106" t="s">
        <v>35</v>
      </c>
      <c r="D106">
        <v>2</v>
      </c>
      <c r="E106">
        <v>144</v>
      </c>
      <c r="F106" t="s">
        <v>28</v>
      </c>
      <c r="G106">
        <v>0</v>
      </c>
      <c r="H106" t="b">
        <v>0</v>
      </c>
      <c r="I106">
        <v>2.9014969611009769</v>
      </c>
      <c r="J106">
        <v>1</v>
      </c>
      <c r="K106" s="6">
        <f>ABS(VLOOKUP(C106,Benchmark_Properties!$A$2:$B$16,2,FALSE)-VLOOKUP(F106,Benchmark_Properties!$A$2:$B$16,2,FALSE))</f>
        <v>69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"/>
  <sheetViews>
    <sheetView workbookViewId="0"/>
  </sheetViews>
  <sheetFormatPr defaultRowHeight="15" x14ac:dyDescent="0.25"/>
  <sheetData>
    <row r="1" spans="1:22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</row>
    <row r="2" spans="1:22" x14ac:dyDescent="0.25">
      <c r="A2">
        <v>14</v>
      </c>
      <c r="B2" t="s">
        <v>35</v>
      </c>
      <c r="C2">
        <v>2</v>
      </c>
      <c r="D2">
        <v>1.365911055908247</v>
      </c>
      <c r="E2">
        <v>0.4377117706287606</v>
      </c>
      <c r="F2">
        <v>0.13761656147414059</v>
      </c>
      <c r="G2">
        <v>0.27808110193495472</v>
      </c>
      <c r="H2">
        <v>0.32263560018059551</v>
      </c>
      <c r="I2">
        <v>0.2228076372005674</v>
      </c>
      <c r="J2">
        <v>-0.18475044316773631</v>
      </c>
      <c r="K2">
        <v>-0.33580459939382012</v>
      </c>
      <c r="L2">
        <v>0.3684504376200729</v>
      </c>
      <c r="M2">
        <v>0.19599286648209049</v>
      </c>
      <c r="N2">
        <v>-9.5346952613929878E-2</v>
      </c>
      <c r="O2">
        <v>0.31859366646053228</v>
      </c>
      <c r="P2">
        <v>0.62797227768352348</v>
      </c>
      <c r="Q2">
        <v>0.29009355054193092</v>
      </c>
      <c r="R2">
        <v>-0.14170863414084209</v>
      </c>
      <c r="S2">
        <v>-4.5718275680052392E-2</v>
      </c>
      <c r="T2">
        <v>0.50164362742675872</v>
      </c>
      <c r="U2">
        <v>-0.57065706918276182</v>
      </c>
      <c r="V2">
        <v>0.18752734060297591</v>
      </c>
    </row>
    <row r="3" spans="1:22" x14ac:dyDescent="0.25">
      <c r="A3">
        <v>15</v>
      </c>
      <c r="B3" t="s">
        <v>33</v>
      </c>
      <c r="C3">
        <v>1</v>
      </c>
      <c r="D3">
        <v>0.47808942863923343</v>
      </c>
      <c r="E3">
        <v>0.1231157631963132</v>
      </c>
      <c r="F3">
        <v>0.4510605339058873</v>
      </c>
      <c r="G3">
        <v>-0.23190140173380711</v>
      </c>
      <c r="H3">
        <v>-0.1207776723834116</v>
      </c>
      <c r="I3">
        <v>-0.14532087974853961</v>
      </c>
      <c r="J3">
        <v>6.3929401046429454E-2</v>
      </c>
      <c r="K3">
        <v>0.57836429035191139</v>
      </c>
      <c r="L3">
        <v>-0.107640464753502</v>
      </c>
      <c r="M3">
        <v>6.3187991606515864E-2</v>
      </c>
      <c r="N3">
        <v>7.679479373673842E-2</v>
      </c>
      <c r="O3">
        <v>-0.16064811233855181</v>
      </c>
      <c r="P3">
        <v>8.696808523238217E-2</v>
      </c>
      <c r="Q3">
        <v>8.2123947255732743E-2</v>
      </c>
      <c r="R3">
        <v>0.10819316517693731</v>
      </c>
      <c r="S3">
        <v>-2.6566216916582751E-2</v>
      </c>
      <c r="T3">
        <v>-1.2581760818110911E-3</v>
      </c>
      <c r="U3">
        <v>0.27986580092453711</v>
      </c>
      <c r="V3">
        <v>-0.13604526667710659</v>
      </c>
    </row>
    <row r="4" spans="1:22" x14ac:dyDescent="0.25">
      <c r="A4">
        <v>16</v>
      </c>
      <c r="B4" t="s">
        <v>37</v>
      </c>
      <c r="C4">
        <v>1</v>
      </c>
      <c r="D4">
        <v>0.65732796806949056</v>
      </c>
      <c r="E4">
        <v>0.1311531527482408</v>
      </c>
      <c r="F4">
        <v>0.28106473129303872</v>
      </c>
      <c r="G4">
        <v>6.4950759317779314E-2</v>
      </c>
      <c r="H4">
        <v>-6.5267834500710567E-2</v>
      </c>
      <c r="I4">
        <v>-0.30315876489857663</v>
      </c>
      <c r="J4">
        <v>-0.47657815354531252</v>
      </c>
      <c r="K4">
        <v>-0.22619880502971021</v>
      </c>
      <c r="L4">
        <v>-0.13854937014640861</v>
      </c>
      <c r="M4">
        <v>-0.52378028503430518</v>
      </c>
      <c r="N4">
        <v>0.18201217397288291</v>
      </c>
      <c r="O4">
        <v>-0.30796879408427641</v>
      </c>
      <c r="P4">
        <v>-6.8519592035994073E-2</v>
      </c>
      <c r="Q4">
        <v>0.1195956465026743</v>
      </c>
      <c r="R4">
        <v>-0.1181361152008237</v>
      </c>
      <c r="S4">
        <v>0.24384065483727449</v>
      </c>
      <c r="T4">
        <v>0.36220714064401582</v>
      </c>
      <c r="U4">
        <v>-4.0611624268881319E-2</v>
      </c>
      <c r="V4">
        <v>0.17615778048501601</v>
      </c>
    </row>
    <row r="5" spans="1:22" x14ac:dyDescent="0.25">
      <c r="A5">
        <v>17</v>
      </c>
      <c r="B5" t="s">
        <v>29</v>
      </c>
      <c r="C5">
        <v>0</v>
      </c>
      <c r="D5">
        <v>-0.72199583797179112</v>
      </c>
      <c r="E5">
        <v>0.32833113433355721</v>
      </c>
      <c r="F5">
        <v>4.4008413229289743E-2</v>
      </c>
      <c r="G5">
        <v>0.13557236453439411</v>
      </c>
      <c r="H5">
        <v>-0.44215698374534901</v>
      </c>
      <c r="I5">
        <v>-2.939756148800305E-2</v>
      </c>
      <c r="J5">
        <v>-0.163927063285151</v>
      </c>
      <c r="K5">
        <v>8.2727477735714261E-2</v>
      </c>
      <c r="L5">
        <v>-0.23939361817195121</v>
      </c>
      <c r="M5">
        <v>0.25446962544014817</v>
      </c>
      <c r="N5">
        <v>-0.21455336217652601</v>
      </c>
      <c r="O5">
        <v>2.0742309946302349E-2</v>
      </c>
      <c r="P5">
        <v>0.36455101359823161</v>
      </c>
      <c r="Q5">
        <v>0.21892661017321999</v>
      </c>
      <c r="R5">
        <v>0.1724520978985922</v>
      </c>
      <c r="S5">
        <v>0.24212290103122899</v>
      </c>
      <c r="T5">
        <v>-0.37680289281745821</v>
      </c>
      <c r="U5">
        <v>3.753327789754194E-2</v>
      </c>
      <c r="V5">
        <v>1.6809901646917629E-2</v>
      </c>
    </row>
    <row r="6" spans="1:22" x14ac:dyDescent="0.25">
      <c r="A6">
        <v>95</v>
      </c>
      <c r="B6" t="s">
        <v>39</v>
      </c>
      <c r="C6">
        <v>2</v>
      </c>
      <c r="D6">
        <v>0.6327129482559477</v>
      </c>
      <c r="E6">
        <v>0.31064367661666359</v>
      </c>
      <c r="F6">
        <v>-0.23132744391041701</v>
      </c>
      <c r="G6">
        <v>0.48814605961304952</v>
      </c>
      <c r="H6">
        <v>0.65104965457009056</v>
      </c>
      <c r="I6">
        <v>-4.3494147965523103E-2</v>
      </c>
      <c r="J6">
        <v>0.26093636863707043</v>
      </c>
      <c r="K6">
        <v>0.52798229952590092</v>
      </c>
      <c r="L6">
        <v>0.4521991822086841</v>
      </c>
      <c r="M6">
        <v>0.22429007307142959</v>
      </c>
      <c r="N6">
        <v>0.13423549146324729</v>
      </c>
      <c r="O6">
        <v>0.1419281975515862</v>
      </c>
      <c r="P6">
        <v>-6.7499209858137038E-2</v>
      </c>
      <c r="Q6">
        <v>0.27629478653986811</v>
      </c>
      <c r="R6">
        <v>0.27524446269285557</v>
      </c>
      <c r="S6">
        <v>0.16848198132683309</v>
      </c>
      <c r="T6">
        <v>-0.29513465787083049</v>
      </c>
      <c r="U6">
        <v>0.136398703944931</v>
      </c>
      <c r="V6">
        <v>0.42962715706822813</v>
      </c>
    </row>
    <row r="7" spans="1:22" x14ac:dyDescent="0.25">
      <c r="A7">
        <v>111</v>
      </c>
      <c r="B7" t="s">
        <v>27</v>
      </c>
      <c r="C7">
        <v>0</v>
      </c>
      <c r="D7">
        <v>-0.84870595283631001</v>
      </c>
      <c r="E7">
        <v>-6.3302691377929571E-2</v>
      </c>
      <c r="F7">
        <v>0.32224626239705723</v>
      </c>
      <c r="G7">
        <v>6.7368214485866995E-2</v>
      </c>
      <c r="H7">
        <v>-0.36676865808504872</v>
      </c>
      <c r="I7">
        <v>5.3737863543789038E-2</v>
      </c>
      <c r="J7">
        <v>-0.196381741787579</v>
      </c>
      <c r="K7">
        <v>-1.690161502449573E-2</v>
      </c>
      <c r="L7">
        <v>8.7372172942256979E-2</v>
      </c>
      <c r="M7">
        <v>9.2173177678282189E-2</v>
      </c>
      <c r="N7">
        <v>-0.11087191052045201</v>
      </c>
      <c r="O7">
        <v>-0.103981079734611</v>
      </c>
      <c r="P7">
        <v>0.23513750988772761</v>
      </c>
      <c r="Q7">
        <v>0.27806816236426979</v>
      </c>
      <c r="R7">
        <v>-0.13705893596576749</v>
      </c>
      <c r="S7">
        <v>-0.1285786368643477</v>
      </c>
      <c r="T7">
        <v>0.13901221457344889</v>
      </c>
      <c r="U7">
        <v>-5.1555904081657666E-3</v>
      </c>
      <c r="V7">
        <v>0.15808798253509179</v>
      </c>
    </row>
    <row r="8" spans="1:22" x14ac:dyDescent="0.25">
      <c r="A8">
        <v>142</v>
      </c>
      <c r="B8" t="s">
        <v>31</v>
      </c>
      <c r="C8">
        <v>0</v>
      </c>
      <c r="D8">
        <v>-0.79039708236821282</v>
      </c>
      <c r="E8">
        <v>0.43149230425972313</v>
      </c>
      <c r="F8">
        <v>0.78952130463965209</v>
      </c>
      <c r="G8">
        <v>3.1957655932262602E-2</v>
      </c>
      <c r="H8">
        <v>-0.29044182978576177</v>
      </c>
      <c r="I8">
        <v>-2.313834929595596E-2</v>
      </c>
      <c r="J8">
        <v>-0.27310383396019511</v>
      </c>
      <c r="K8">
        <v>-0.1308586844217183</v>
      </c>
      <c r="L8">
        <v>5.1546024702953129E-2</v>
      </c>
      <c r="M8">
        <v>-0.3485644627551483</v>
      </c>
      <c r="N8">
        <v>-0.237041683964238</v>
      </c>
      <c r="O8">
        <v>-3.6222090737886189E-4</v>
      </c>
      <c r="P8">
        <v>-0.1060913735394549</v>
      </c>
      <c r="Q8">
        <v>-0.14011090696768691</v>
      </c>
      <c r="R8">
        <v>8.577164389144494E-2</v>
      </c>
      <c r="S8">
        <v>-0.20779501840130171</v>
      </c>
      <c r="T8">
        <v>-0.12647689628686859</v>
      </c>
      <c r="U8">
        <v>8.3097833633645493E-2</v>
      </c>
      <c r="V8">
        <v>-0.31093829796211908</v>
      </c>
    </row>
    <row r="9" spans="1:22" x14ac:dyDescent="0.25">
      <c r="A9">
        <v>144</v>
      </c>
      <c r="B9" t="s">
        <v>28</v>
      </c>
      <c r="C9">
        <v>0</v>
      </c>
      <c r="D9">
        <v>-0.9222873417907016</v>
      </c>
      <c r="E9">
        <v>-0.60432351406210683</v>
      </c>
      <c r="F9">
        <v>-2.5269263473342619E-2</v>
      </c>
      <c r="G9">
        <v>-0.1704270488090667</v>
      </c>
      <c r="H9">
        <v>-0.29259658501888081</v>
      </c>
      <c r="I9">
        <v>0.1675479778792221</v>
      </c>
      <c r="J9">
        <v>-0.25449000685692169</v>
      </c>
      <c r="K9">
        <v>8.1391939329711949E-2</v>
      </c>
      <c r="L9">
        <v>0.2973466578799871</v>
      </c>
      <c r="M9">
        <v>-5.8457767747938323E-2</v>
      </c>
      <c r="N9">
        <v>-0.31804168194073951</v>
      </c>
      <c r="O9">
        <v>-6.5873871441979107E-2</v>
      </c>
      <c r="P9">
        <v>-3.10356959280748E-2</v>
      </c>
      <c r="Q9">
        <v>0.19004005253285</v>
      </c>
      <c r="R9">
        <v>-4.7948340654947352E-2</v>
      </c>
      <c r="S9">
        <v>0.15382388462463811</v>
      </c>
      <c r="T9">
        <v>-0.1246269570173696</v>
      </c>
      <c r="U9">
        <v>-0.18458586679116151</v>
      </c>
      <c r="V9">
        <v>0.10128471407012379</v>
      </c>
    </row>
    <row r="10" spans="1:22" x14ac:dyDescent="0.25">
      <c r="A10">
        <v>153</v>
      </c>
      <c r="B10" t="s">
        <v>32</v>
      </c>
      <c r="C10">
        <v>0</v>
      </c>
      <c r="D10">
        <v>-0.95188446157979478</v>
      </c>
      <c r="E10">
        <v>1.8587451197424141E-2</v>
      </c>
      <c r="F10">
        <v>0.14202002167261241</v>
      </c>
      <c r="G10">
        <v>0.56697479860026001</v>
      </c>
      <c r="H10">
        <v>0.45128111116253922</v>
      </c>
      <c r="I10">
        <v>0.25821129228288792</v>
      </c>
      <c r="J10">
        <v>1.9142973931639039E-3</v>
      </c>
      <c r="K10">
        <v>-0.1206019515047073</v>
      </c>
      <c r="L10">
        <v>-0.20958975010682929</v>
      </c>
      <c r="M10">
        <v>1.9694068828822259E-2</v>
      </c>
      <c r="N10">
        <v>-0.26592981830796147</v>
      </c>
      <c r="O10">
        <v>0.29285614152932149</v>
      </c>
      <c r="P10">
        <v>3.9047380395681439E-3</v>
      </c>
      <c r="Q10">
        <v>-3.8901430704455398E-2</v>
      </c>
      <c r="R10">
        <v>-0.11644289098907711</v>
      </c>
      <c r="S10">
        <v>7.751783816159559E-2</v>
      </c>
      <c r="T10">
        <v>-0.13513048705738059</v>
      </c>
      <c r="U10">
        <v>7.6933597452239849E-2</v>
      </c>
      <c r="V10">
        <v>0.23617815226800951</v>
      </c>
    </row>
    <row r="11" spans="1:22" x14ac:dyDescent="0.25">
      <c r="A11">
        <v>157</v>
      </c>
      <c r="B11" t="s">
        <v>41</v>
      </c>
      <c r="C11">
        <v>1</v>
      </c>
      <c r="D11">
        <v>-0.2184583053400746</v>
      </c>
      <c r="E11">
        <v>0.61886224931291567</v>
      </c>
      <c r="F11">
        <v>0.12648606794278791</v>
      </c>
      <c r="G11">
        <v>-0.68507808179321206</v>
      </c>
      <c r="H11">
        <v>1.132538293373631</v>
      </c>
      <c r="I11">
        <v>-0.24659802073005541</v>
      </c>
      <c r="J11">
        <v>0.42391625771636882</v>
      </c>
      <c r="K11">
        <v>-0.1459754640355671</v>
      </c>
      <c r="L11">
        <v>-0.2320779691418762</v>
      </c>
      <c r="M11">
        <v>5.255318963614216E-2</v>
      </c>
      <c r="N11">
        <v>0.10018483690949299</v>
      </c>
      <c r="O11">
        <v>-0.33108721477904129</v>
      </c>
      <c r="P11">
        <v>-0.31818125696765309</v>
      </c>
      <c r="Q11">
        <v>-0.27590191486540749</v>
      </c>
      <c r="R11">
        <v>-0.57988955052157631</v>
      </c>
      <c r="S11">
        <v>3.1911816994349307E-2</v>
      </c>
      <c r="T11">
        <v>-0.2035524189128266</v>
      </c>
      <c r="U11">
        <v>-7.1341632655878034E-2</v>
      </c>
      <c r="V11">
        <v>-7.1363505531138488E-2</v>
      </c>
    </row>
    <row r="12" spans="1:22" x14ac:dyDescent="0.25">
      <c r="A12">
        <v>171</v>
      </c>
      <c r="B12" t="s">
        <v>36</v>
      </c>
      <c r="C12">
        <v>2</v>
      </c>
      <c r="D12">
        <v>0.83890356521574949</v>
      </c>
      <c r="E12">
        <v>0.2868945548579096</v>
      </c>
      <c r="F12">
        <v>0.20052708834620989</v>
      </c>
      <c r="G12">
        <v>0.28335142437666161</v>
      </c>
      <c r="H12">
        <v>0.62047164058341475</v>
      </c>
      <c r="I12">
        <v>0.33820232181283122</v>
      </c>
      <c r="J12">
        <v>0.21008079953867059</v>
      </c>
      <c r="K12">
        <v>-0.45943439828586191</v>
      </c>
      <c r="L12">
        <v>0.58611531212610313</v>
      </c>
      <c r="M12">
        <v>-0.2040927262002207</v>
      </c>
      <c r="N12">
        <v>-3.8328467673893238E-2</v>
      </c>
      <c r="O12">
        <v>-0.1747371643808418</v>
      </c>
      <c r="P12">
        <v>1.6018061626362039E-2</v>
      </c>
      <c r="Q12">
        <v>7.1467644328689975E-2</v>
      </c>
      <c r="R12">
        <v>9.2920674619606181E-2</v>
      </c>
      <c r="S12">
        <v>6.7009449299233236E-3</v>
      </c>
      <c r="T12">
        <v>0.1102881205917821</v>
      </c>
      <c r="U12">
        <v>-5.2411847374887632E-2</v>
      </c>
      <c r="V12">
        <v>0.18011870597888721</v>
      </c>
    </row>
    <row r="13" spans="1:22" x14ac:dyDescent="0.25">
      <c r="A13">
        <v>180</v>
      </c>
      <c r="B13" t="s">
        <v>30</v>
      </c>
      <c r="C13">
        <v>0</v>
      </c>
      <c r="D13">
        <v>-0.78958998029209293</v>
      </c>
      <c r="E13">
        <v>0.24310967245808099</v>
      </c>
      <c r="F13">
        <v>0.69508337257198261</v>
      </c>
      <c r="G13">
        <v>0.57715108999158682</v>
      </c>
      <c r="H13">
        <v>-0.45039480542861371</v>
      </c>
      <c r="I13">
        <v>-7.6449091760144522E-3</v>
      </c>
      <c r="J13">
        <v>-0.22524956293660159</v>
      </c>
      <c r="K13">
        <v>0.49570304105310631</v>
      </c>
      <c r="L13">
        <v>0.23855141037761829</v>
      </c>
      <c r="M13">
        <v>7.7559321182532878E-2</v>
      </c>
      <c r="N13">
        <v>1.8204236441154611E-2</v>
      </c>
      <c r="O13">
        <v>-0.13892469085467921</v>
      </c>
      <c r="P13">
        <v>0.2587488982884007</v>
      </c>
      <c r="Q13">
        <v>-0.21831650139360639</v>
      </c>
      <c r="R13">
        <v>-0.2127204100363671</v>
      </c>
      <c r="S13">
        <v>0.1213798739852298</v>
      </c>
      <c r="T13">
        <v>0.13419786994861241</v>
      </c>
      <c r="U13">
        <v>0.15384944040849591</v>
      </c>
      <c r="V13">
        <v>-2.8257894502155159E-4</v>
      </c>
    </row>
    <row r="14" spans="1:22" x14ac:dyDescent="0.25">
      <c r="A14">
        <v>199</v>
      </c>
      <c r="B14" t="s">
        <v>38</v>
      </c>
      <c r="C14">
        <v>1</v>
      </c>
      <c r="D14">
        <v>0.52098811633806696</v>
      </c>
      <c r="E14">
        <v>-0.9789638738883083</v>
      </c>
      <c r="F14">
        <v>0.54711999030139635</v>
      </c>
      <c r="G14">
        <v>-0.36528949968544078</v>
      </c>
      <c r="H14">
        <v>3.9661823529206233E-2</v>
      </c>
      <c r="I14">
        <v>0.30366795253845819</v>
      </c>
      <c r="J14">
        <v>9.6749793167624318E-2</v>
      </c>
      <c r="K14">
        <v>0.39912997121550642</v>
      </c>
      <c r="L14">
        <v>0.12988076898101961</v>
      </c>
      <c r="M14">
        <v>2.105523543657192E-4</v>
      </c>
      <c r="N14">
        <v>-0.25723285451593281</v>
      </c>
      <c r="O14">
        <v>3.4860038965546493E-2</v>
      </c>
      <c r="P14">
        <v>0.1051024177356398</v>
      </c>
      <c r="Q14">
        <v>-1.9422804457505199E-2</v>
      </c>
      <c r="R14">
        <v>-3.0071101535128229E-2</v>
      </c>
      <c r="S14">
        <v>9.8540927942984732E-2</v>
      </c>
      <c r="T14">
        <v>0.14613203879958819</v>
      </c>
      <c r="U14">
        <v>-0.1643537165127813</v>
      </c>
      <c r="V14">
        <v>-6.7051501317475087E-2</v>
      </c>
    </row>
    <row r="15" spans="1:22" x14ac:dyDescent="0.25">
      <c r="A15">
        <v>261</v>
      </c>
      <c r="B15" t="s">
        <v>34</v>
      </c>
      <c r="C15">
        <v>1</v>
      </c>
      <c r="D15">
        <v>0.61420505864692565</v>
      </c>
      <c r="E15">
        <v>-0.25554265149247363</v>
      </c>
      <c r="F15">
        <v>-0.60905470070236056</v>
      </c>
      <c r="G15">
        <v>0.18829930391777491</v>
      </c>
      <c r="H15">
        <v>-3.6896335911106477E-2</v>
      </c>
      <c r="I15">
        <v>-5.100264487306818E-2</v>
      </c>
      <c r="J15">
        <v>-0.2727007214871584</v>
      </c>
      <c r="K15">
        <v>0.28730533362403471</v>
      </c>
      <c r="L15">
        <v>-9.3429403411647988E-2</v>
      </c>
      <c r="M15">
        <v>-0.13195657977288711</v>
      </c>
      <c r="N15">
        <v>-0.14749742100842861</v>
      </c>
      <c r="O15">
        <v>-0.29500974144303099</v>
      </c>
      <c r="P15">
        <v>0.1329179129252894</v>
      </c>
      <c r="Q15">
        <v>0.21754100230113421</v>
      </c>
      <c r="R15">
        <v>0.1305717013684399</v>
      </c>
      <c r="S15">
        <v>-6.4096913162133673E-2</v>
      </c>
      <c r="T15">
        <v>-7.490048305771542E-2</v>
      </c>
      <c r="U15">
        <v>0.28512711371522698</v>
      </c>
      <c r="V15">
        <v>-0.2067183437783989</v>
      </c>
    </row>
    <row r="16" spans="1:22" x14ac:dyDescent="0.25">
      <c r="A16">
        <v>283</v>
      </c>
      <c r="B16" t="s">
        <v>40</v>
      </c>
      <c r="C16">
        <v>2</v>
      </c>
      <c r="D16">
        <v>1.293881876912752</v>
      </c>
      <c r="E16">
        <v>0.41091753039398637</v>
      </c>
      <c r="F16">
        <v>9.763576464552999E-2</v>
      </c>
      <c r="G16">
        <v>-0.57480362203634705</v>
      </c>
      <c r="H16">
        <v>-0.1166790531471362</v>
      </c>
      <c r="I16">
        <v>9.5464462776219935E-2</v>
      </c>
      <c r="J16">
        <v>-0.20741013056475219</v>
      </c>
      <c r="K16">
        <v>-0.1285686064075223</v>
      </c>
      <c r="L16">
        <v>0.66315677446244214</v>
      </c>
      <c r="M16">
        <v>-6.6138746450288249E-2</v>
      </c>
      <c r="N16">
        <v>-0.3083860022194006</v>
      </c>
      <c r="O16">
        <v>0.18034564906536779</v>
      </c>
      <c r="P16">
        <v>-0.42953231394578612</v>
      </c>
      <c r="Q16">
        <v>0.14624167746765149</v>
      </c>
      <c r="R16">
        <v>8.0062158820362689E-2</v>
      </c>
      <c r="S16">
        <v>-1.346309489782003E-2</v>
      </c>
      <c r="T16">
        <v>2.9330237618269861E-2</v>
      </c>
      <c r="U16">
        <v>-0.18189318414940431</v>
      </c>
      <c r="V16">
        <v>-0.21770309365010371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12</v>
      </c>
      <c r="H1" s="1" t="s">
        <v>2</v>
      </c>
      <c r="I1" s="1" t="s">
        <v>3</v>
      </c>
      <c r="J1" s="1" t="s">
        <v>10</v>
      </c>
      <c r="K1" s="1" t="s">
        <v>13</v>
      </c>
      <c r="L1" s="1" t="s">
        <v>14</v>
      </c>
      <c r="M1" s="1" t="s">
        <v>1</v>
      </c>
      <c r="N1" s="1" t="s">
        <v>5</v>
      </c>
      <c r="O1" s="1" t="s">
        <v>11</v>
      </c>
      <c r="P1" s="1" t="s">
        <v>15</v>
      </c>
    </row>
    <row r="2" spans="1:16" x14ac:dyDescent="0.25">
      <c r="A2" s="1" t="s">
        <v>4</v>
      </c>
      <c r="B2">
        <v>0</v>
      </c>
      <c r="C2">
        <v>0.98782888693581428</v>
      </c>
      <c r="D2">
        <v>1.358012804548228</v>
      </c>
      <c r="E2">
        <v>1.347495282731515</v>
      </c>
      <c r="F2">
        <v>1.357265932811313</v>
      </c>
      <c r="G2">
        <v>1.3361236650263359</v>
      </c>
      <c r="H2">
        <v>1.6626158218941249</v>
      </c>
      <c r="I2">
        <v>2.037995671947014</v>
      </c>
      <c r="J2">
        <v>2.3616586057420328</v>
      </c>
      <c r="K2">
        <v>2.2314116065008438</v>
      </c>
      <c r="L2">
        <v>1.8440226139458391</v>
      </c>
      <c r="M2">
        <v>2.6696518836439531</v>
      </c>
      <c r="N2">
        <v>2.1489737213265272</v>
      </c>
      <c r="O2">
        <v>2.370778110864999</v>
      </c>
      <c r="P2">
        <v>2.5837223784918879</v>
      </c>
    </row>
    <row r="3" spans="1:16" x14ac:dyDescent="0.25">
      <c r="A3" s="1" t="s">
        <v>6</v>
      </c>
      <c r="B3">
        <v>0.98782888693581428</v>
      </c>
      <c r="C3">
        <v>0</v>
      </c>
      <c r="D3">
        <v>1.1688102279481289</v>
      </c>
      <c r="E3">
        <v>0.94302211262080549</v>
      </c>
      <c r="F3">
        <v>1.2729188073065461</v>
      </c>
      <c r="G3">
        <v>1.0849534470703801</v>
      </c>
      <c r="H3">
        <v>1.67903644426952</v>
      </c>
      <c r="I3">
        <v>1.8745272969288309</v>
      </c>
      <c r="J3">
        <v>2.327150889729626</v>
      </c>
      <c r="K3">
        <v>1.932460090790074</v>
      </c>
      <c r="L3">
        <v>1.9367299592953799</v>
      </c>
      <c r="M3">
        <v>2.5926501069505821</v>
      </c>
      <c r="N3">
        <v>2.2962078997223432</v>
      </c>
      <c r="O3">
        <v>2.2273207785900442</v>
      </c>
      <c r="P3">
        <v>2.556514367384171</v>
      </c>
    </row>
    <row r="4" spans="1:16" x14ac:dyDescent="0.25">
      <c r="A4" s="1" t="s">
        <v>7</v>
      </c>
      <c r="B4">
        <v>1.358012804548228</v>
      </c>
      <c r="C4">
        <v>1.1688102279481289</v>
      </c>
      <c r="D4">
        <v>0</v>
      </c>
      <c r="E4">
        <v>1.5928641197781159</v>
      </c>
      <c r="F4">
        <v>1.5303020197309221</v>
      </c>
      <c r="G4">
        <v>1.2527499690464421</v>
      </c>
      <c r="H4">
        <v>1.7529094919709229</v>
      </c>
      <c r="I4">
        <v>1.941182664542193</v>
      </c>
      <c r="J4">
        <v>2.2343818116668328</v>
      </c>
      <c r="K4">
        <v>2.247224716272878</v>
      </c>
      <c r="L4">
        <v>2.256127492562721</v>
      </c>
      <c r="M4">
        <v>2.8306437780989602</v>
      </c>
      <c r="N4">
        <v>2.5446113867737248</v>
      </c>
      <c r="O4">
        <v>2.2771089708820851</v>
      </c>
      <c r="P4">
        <v>2.4615571438716191</v>
      </c>
    </row>
    <row r="5" spans="1:16" x14ac:dyDescent="0.25">
      <c r="A5" s="1" t="s">
        <v>8</v>
      </c>
      <c r="B5">
        <v>1.347495282731515</v>
      </c>
      <c r="C5">
        <v>0.94302211262080549</v>
      </c>
      <c r="D5">
        <v>1.5928641197781159</v>
      </c>
      <c r="E5">
        <v>0</v>
      </c>
      <c r="F5">
        <v>1.4744839975092461</v>
      </c>
      <c r="G5">
        <v>1.6287316155153519</v>
      </c>
      <c r="H5">
        <v>1.9774012730826851</v>
      </c>
      <c r="I5">
        <v>2.1448694814087812</v>
      </c>
      <c r="J5">
        <v>2.4855615480766931</v>
      </c>
      <c r="K5">
        <v>1.7763513706227341</v>
      </c>
      <c r="L5">
        <v>1.9422892221705399</v>
      </c>
      <c r="M5">
        <v>2.9014969611009769</v>
      </c>
      <c r="N5">
        <v>2.4158841674235529</v>
      </c>
      <c r="O5">
        <v>2.4197970480459459</v>
      </c>
      <c r="P5">
        <v>2.5939035230038119</v>
      </c>
    </row>
    <row r="6" spans="1:16" x14ac:dyDescent="0.25">
      <c r="A6" s="1" t="s">
        <v>9</v>
      </c>
      <c r="B6">
        <v>1.357265932811313</v>
      </c>
      <c r="C6">
        <v>1.2729188073065461</v>
      </c>
      <c r="D6">
        <v>1.5303020197309221</v>
      </c>
      <c r="E6">
        <v>1.4744839975092461</v>
      </c>
      <c r="F6">
        <v>0</v>
      </c>
      <c r="G6">
        <v>1.5530319930074159</v>
      </c>
      <c r="H6">
        <v>2.094721119138252</v>
      </c>
      <c r="I6">
        <v>2.209188235023527</v>
      </c>
      <c r="J6">
        <v>2.0944559539030418</v>
      </c>
      <c r="K6">
        <v>2.253520153371388</v>
      </c>
      <c r="L6">
        <v>2.147960788674109</v>
      </c>
      <c r="M6">
        <v>2.732397701623325</v>
      </c>
      <c r="N6">
        <v>2.087096529091709</v>
      </c>
      <c r="O6">
        <v>2.1565928736871909</v>
      </c>
      <c r="P6">
        <v>2.8720309648543472</v>
      </c>
    </row>
    <row r="7" spans="1:16" x14ac:dyDescent="0.25">
      <c r="A7" s="1" t="s">
        <v>12</v>
      </c>
      <c r="B7">
        <v>1.3361236650263359</v>
      </c>
      <c r="C7">
        <v>1.0849534470703801</v>
      </c>
      <c r="D7">
        <v>1.2527499690464421</v>
      </c>
      <c r="E7">
        <v>1.6287316155153519</v>
      </c>
      <c r="F7">
        <v>1.5530319930074159</v>
      </c>
      <c r="G7">
        <v>0</v>
      </c>
      <c r="H7">
        <v>1.724775041917092</v>
      </c>
      <c r="I7">
        <v>2.0700763038685999</v>
      </c>
      <c r="J7">
        <v>2.5873607520779949</v>
      </c>
      <c r="K7">
        <v>2.213144420371906</v>
      </c>
      <c r="L7">
        <v>2.2265161831704932</v>
      </c>
      <c r="M7">
        <v>2.7935789373760809</v>
      </c>
      <c r="N7">
        <v>2.3379319547668711</v>
      </c>
      <c r="O7">
        <v>2.4254289703034742</v>
      </c>
      <c r="P7">
        <v>2.802865031863071</v>
      </c>
    </row>
    <row r="8" spans="1:16" x14ac:dyDescent="0.25">
      <c r="A8" s="1" t="s">
        <v>2</v>
      </c>
      <c r="B8">
        <v>1.6626158218941249</v>
      </c>
      <c r="C8">
        <v>1.67903644426952</v>
      </c>
      <c r="D8">
        <v>1.7529094919709229</v>
      </c>
      <c r="E8">
        <v>1.9774012730826851</v>
      </c>
      <c r="F8">
        <v>2.094721119138252</v>
      </c>
      <c r="G8">
        <v>1.724775041917092</v>
      </c>
      <c r="H8">
        <v>0</v>
      </c>
      <c r="I8">
        <v>1.4061099837596149</v>
      </c>
      <c r="J8">
        <v>2.0639358843454589</v>
      </c>
      <c r="K8">
        <v>1.408324660173649</v>
      </c>
      <c r="L8">
        <v>1.3474929470122019</v>
      </c>
      <c r="M8">
        <v>2.111531644053644</v>
      </c>
      <c r="N8">
        <v>1.6368576894169831</v>
      </c>
      <c r="O8">
        <v>1.778308299383375</v>
      </c>
      <c r="P8">
        <v>1.7292710605846959</v>
      </c>
    </row>
    <row r="9" spans="1:16" x14ac:dyDescent="0.25">
      <c r="A9" s="1" t="s">
        <v>3</v>
      </c>
      <c r="B9">
        <v>2.0379956719470131</v>
      </c>
      <c r="C9">
        <v>1.8745272969288309</v>
      </c>
      <c r="D9">
        <v>1.941182664542193</v>
      </c>
      <c r="E9">
        <v>2.1448694814087812</v>
      </c>
      <c r="F9">
        <v>2.209188235023527</v>
      </c>
      <c r="G9">
        <v>2.0700763038685999</v>
      </c>
      <c r="H9">
        <v>1.4061099837596149</v>
      </c>
      <c r="I9">
        <v>0</v>
      </c>
      <c r="J9">
        <v>2.248082866456905</v>
      </c>
      <c r="K9">
        <v>1.8607549006901301</v>
      </c>
      <c r="L9">
        <v>1.4978255588492611</v>
      </c>
      <c r="M9">
        <v>1.8248501147693721</v>
      </c>
      <c r="N9">
        <v>1.9984142556026061</v>
      </c>
      <c r="O9">
        <v>1.5447955316783939</v>
      </c>
      <c r="P9">
        <v>1.738809727917336</v>
      </c>
    </row>
    <row r="10" spans="1:16" x14ac:dyDescent="0.25">
      <c r="A10" s="1" t="s">
        <v>10</v>
      </c>
      <c r="B10">
        <v>2.3616586057420328</v>
      </c>
      <c r="C10">
        <v>2.327150889729626</v>
      </c>
      <c r="D10">
        <v>2.2343818116668328</v>
      </c>
      <c r="E10">
        <v>2.4855615480766931</v>
      </c>
      <c r="F10">
        <v>2.0944559539030418</v>
      </c>
      <c r="G10">
        <v>2.5873607520779949</v>
      </c>
      <c r="H10">
        <v>2.0639358843454589</v>
      </c>
      <c r="I10">
        <v>2.248082866456905</v>
      </c>
      <c r="J10">
        <v>0</v>
      </c>
      <c r="K10">
        <v>2.5215936475371481</v>
      </c>
      <c r="L10">
        <v>2.4656377840360508</v>
      </c>
      <c r="M10">
        <v>2.796853762301025</v>
      </c>
      <c r="N10">
        <v>2.2848797931046239</v>
      </c>
      <c r="O10">
        <v>2.1322383572758699</v>
      </c>
      <c r="P10">
        <v>2.5258524796290192</v>
      </c>
    </row>
    <row r="11" spans="1:16" x14ac:dyDescent="0.25">
      <c r="A11" s="1" t="s">
        <v>13</v>
      </c>
      <c r="B11">
        <v>2.2314116065008438</v>
      </c>
      <c r="C11">
        <v>1.932460090790074</v>
      </c>
      <c r="D11">
        <v>2.247224716272878</v>
      </c>
      <c r="E11">
        <v>1.7763513706227341</v>
      </c>
      <c r="F11">
        <v>2.253520153371388</v>
      </c>
      <c r="G11">
        <v>2.213144420371906</v>
      </c>
      <c r="H11">
        <v>1.408324660173649</v>
      </c>
      <c r="I11">
        <v>1.8607549006901301</v>
      </c>
      <c r="J11">
        <v>2.5215936475371481</v>
      </c>
      <c r="K11">
        <v>0</v>
      </c>
      <c r="L11">
        <v>1.7388641192893211</v>
      </c>
      <c r="M11">
        <v>2.2291642894864641</v>
      </c>
      <c r="N11">
        <v>2.1479755365495419</v>
      </c>
      <c r="O11">
        <v>1.9465986448012711</v>
      </c>
      <c r="P11">
        <v>1.9750962544492989</v>
      </c>
    </row>
    <row r="12" spans="1:16" x14ac:dyDescent="0.25">
      <c r="A12" s="1" t="s">
        <v>14</v>
      </c>
      <c r="B12">
        <v>1.8440226139458391</v>
      </c>
      <c r="C12">
        <v>1.9367299592953799</v>
      </c>
      <c r="D12">
        <v>2.256127492562721</v>
      </c>
      <c r="E12">
        <v>1.9422892221705399</v>
      </c>
      <c r="F12">
        <v>2.1479607886741081</v>
      </c>
      <c r="G12">
        <v>2.226516183170494</v>
      </c>
      <c r="H12">
        <v>1.3474929470122019</v>
      </c>
      <c r="I12">
        <v>1.4978255588492611</v>
      </c>
      <c r="J12">
        <v>2.4656377840360508</v>
      </c>
      <c r="K12">
        <v>1.7388641192893211</v>
      </c>
      <c r="L12">
        <v>0</v>
      </c>
      <c r="M12">
        <v>2.1110679524046772</v>
      </c>
      <c r="N12">
        <v>1.6305296387194881</v>
      </c>
      <c r="O12">
        <v>1.793367701959564</v>
      </c>
      <c r="P12">
        <v>1.8913336991464069</v>
      </c>
    </row>
    <row r="13" spans="1:16" x14ac:dyDescent="0.25">
      <c r="A13" s="1" t="s">
        <v>1</v>
      </c>
      <c r="B13">
        <v>2.6696518836439531</v>
      </c>
      <c r="C13">
        <v>2.5926501069505821</v>
      </c>
      <c r="D13">
        <v>2.8306437780989602</v>
      </c>
      <c r="E13">
        <v>2.9014969611009769</v>
      </c>
      <c r="F13">
        <v>2.732397701623325</v>
      </c>
      <c r="G13">
        <v>2.7935789373760809</v>
      </c>
      <c r="H13">
        <v>2.111531644053644</v>
      </c>
      <c r="I13">
        <v>1.8248501147693721</v>
      </c>
      <c r="J13">
        <v>2.796853762301025</v>
      </c>
      <c r="K13">
        <v>2.2291642894864641</v>
      </c>
      <c r="L13">
        <v>2.1110679524046772</v>
      </c>
      <c r="M13">
        <v>0</v>
      </c>
      <c r="N13">
        <v>1.961183706069793</v>
      </c>
      <c r="O13">
        <v>1.390545029335255</v>
      </c>
      <c r="P13">
        <v>1.713276037638908</v>
      </c>
    </row>
    <row r="14" spans="1:16" x14ac:dyDescent="0.25">
      <c r="A14" s="1" t="s">
        <v>5</v>
      </c>
      <c r="B14">
        <v>2.1489737213265272</v>
      </c>
      <c r="C14">
        <v>2.2962078997223432</v>
      </c>
      <c r="D14">
        <v>2.5446113867737248</v>
      </c>
      <c r="E14">
        <v>2.4158841674235529</v>
      </c>
      <c r="F14">
        <v>2.087096529091709</v>
      </c>
      <c r="G14">
        <v>2.3379319547668711</v>
      </c>
      <c r="H14">
        <v>1.6368576894169831</v>
      </c>
      <c r="I14">
        <v>1.9984142556026061</v>
      </c>
      <c r="J14">
        <v>2.2848797931046239</v>
      </c>
      <c r="K14">
        <v>2.1479755365495419</v>
      </c>
      <c r="L14">
        <v>1.6305296387194881</v>
      </c>
      <c r="M14">
        <v>1.961183706069793</v>
      </c>
      <c r="N14">
        <v>0</v>
      </c>
      <c r="O14">
        <v>1.4483920429147119</v>
      </c>
      <c r="P14">
        <v>2.0286571120031689</v>
      </c>
    </row>
    <row r="15" spans="1:16" x14ac:dyDescent="0.25">
      <c r="A15" s="1" t="s">
        <v>11</v>
      </c>
      <c r="B15">
        <v>2.370778110864999</v>
      </c>
      <c r="C15">
        <v>2.2273207785900442</v>
      </c>
      <c r="D15">
        <v>2.2771089708820851</v>
      </c>
      <c r="E15">
        <v>2.4197970480459459</v>
      </c>
      <c r="F15">
        <v>2.1565928736871909</v>
      </c>
      <c r="G15">
        <v>2.4254289703034742</v>
      </c>
      <c r="H15">
        <v>1.778308299383375</v>
      </c>
      <c r="I15">
        <v>1.5447955316783939</v>
      </c>
      <c r="J15">
        <v>2.1322383572758699</v>
      </c>
      <c r="K15">
        <v>1.9465986448012711</v>
      </c>
      <c r="L15">
        <v>1.793367701959564</v>
      </c>
      <c r="M15">
        <v>1.390545029335255</v>
      </c>
      <c r="N15">
        <v>1.4483920429147119</v>
      </c>
      <c r="O15">
        <v>0</v>
      </c>
      <c r="P15">
        <v>1.5702639586338729</v>
      </c>
    </row>
    <row r="16" spans="1:16" x14ac:dyDescent="0.25">
      <c r="A16" s="1" t="s">
        <v>15</v>
      </c>
      <c r="B16">
        <v>2.5837223784918879</v>
      </c>
      <c r="C16">
        <v>2.556514367384171</v>
      </c>
      <c r="D16">
        <v>2.4615571438716191</v>
      </c>
      <c r="E16">
        <v>2.5939035230038119</v>
      </c>
      <c r="F16">
        <v>2.8720309648543472</v>
      </c>
      <c r="G16">
        <v>2.802865031863071</v>
      </c>
      <c r="H16">
        <v>1.7292710605846959</v>
      </c>
      <c r="I16">
        <v>1.738809727917336</v>
      </c>
      <c r="J16">
        <v>2.5258524796290192</v>
      </c>
      <c r="K16">
        <v>1.9750962544492989</v>
      </c>
      <c r="L16">
        <v>1.8913336991464069</v>
      </c>
      <c r="M16">
        <v>1.713276037638908</v>
      </c>
      <c r="N16">
        <v>2.0286571120031689</v>
      </c>
      <c r="O16">
        <v>1.5702639586338729</v>
      </c>
      <c r="P16">
        <v>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12</v>
      </c>
      <c r="H1" s="1" t="s">
        <v>2</v>
      </c>
      <c r="I1" s="1" t="s">
        <v>3</v>
      </c>
      <c r="J1" s="1" t="s">
        <v>10</v>
      </c>
      <c r="K1" s="1" t="s">
        <v>13</v>
      </c>
      <c r="L1" s="1" t="s">
        <v>14</v>
      </c>
      <c r="M1" s="1" t="s">
        <v>1</v>
      </c>
      <c r="N1" s="1" t="s">
        <v>5</v>
      </c>
      <c r="O1" s="1" t="s">
        <v>11</v>
      </c>
      <c r="P1" s="1" t="s">
        <v>15</v>
      </c>
    </row>
    <row r="2" spans="1:16" x14ac:dyDescent="0.25">
      <c r="A2" s="1" t="s">
        <v>4</v>
      </c>
      <c r="B2">
        <v>0</v>
      </c>
      <c r="C2">
        <v>0.34045491006166051</v>
      </c>
      <c r="D2">
        <v>0.46803867891453099</v>
      </c>
      <c r="E2">
        <v>0.4644138183829789</v>
      </c>
      <c r="F2">
        <v>0.46778126980918711</v>
      </c>
      <c r="G2">
        <v>0.46049459397653197</v>
      </c>
      <c r="H2">
        <v>0.57302001145754866</v>
      </c>
      <c r="I2">
        <v>0.70239455676482709</v>
      </c>
      <c r="J2">
        <v>0.81394488341835047</v>
      </c>
      <c r="K2">
        <v>0.76905529677140583</v>
      </c>
      <c r="L2">
        <v>0.6355418043402401</v>
      </c>
      <c r="M2">
        <v>0.92009466817809449</v>
      </c>
      <c r="N2">
        <v>0.74064310600245997</v>
      </c>
      <c r="O2">
        <v>0.81708791794336522</v>
      </c>
      <c r="P2">
        <v>0.89047909170013095</v>
      </c>
    </row>
    <row r="3" spans="1:16" x14ac:dyDescent="0.25">
      <c r="A3" s="1" t="s">
        <v>6</v>
      </c>
      <c r="B3">
        <v>0.34045491006166051</v>
      </c>
      <c r="C3">
        <v>0</v>
      </c>
      <c r="D3">
        <v>0.40283007137964488</v>
      </c>
      <c r="E3">
        <v>0.32501226961925689</v>
      </c>
      <c r="F3">
        <v>0.43871105997075899</v>
      </c>
      <c r="G3">
        <v>0.37392885866014941</v>
      </c>
      <c r="H3">
        <v>0.5786793737093584</v>
      </c>
      <c r="I3">
        <v>0.64605523357761452</v>
      </c>
      <c r="J3">
        <v>0.80205181012720606</v>
      </c>
      <c r="K3">
        <v>0.66602175246008144</v>
      </c>
      <c r="L3">
        <v>0.66749336127530701</v>
      </c>
      <c r="M3">
        <v>0.89355603045911758</v>
      </c>
      <c r="N3">
        <v>0.79138731851404165</v>
      </c>
      <c r="O3">
        <v>0.76764539423983547</v>
      </c>
      <c r="P3">
        <v>0.88110185937058427</v>
      </c>
    </row>
    <row r="4" spans="1:16" x14ac:dyDescent="0.25">
      <c r="A4" s="1" t="s">
        <v>7</v>
      </c>
      <c r="B4">
        <v>0.46803867891453099</v>
      </c>
      <c r="C4">
        <v>0.40283007137964488</v>
      </c>
      <c r="D4">
        <v>0</v>
      </c>
      <c r="E4">
        <v>0.54898010962372368</v>
      </c>
      <c r="F4">
        <v>0.52741810184431359</v>
      </c>
      <c r="G4">
        <v>0.43175987631263418</v>
      </c>
      <c r="H4">
        <v>0.60413969598154582</v>
      </c>
      <c r="I4">
        <v>0.66902798471503777</v>
      </c>
      <c r="J4">
        <v>0.77007897703225348</v>
      </c>
      <c r="K4">
        <v>0.77450527999869601</v>
      </c>
      <c r="L4">
        <v>0.77757361900066602</v>
      </c>
      <c r="M4">
        <v>0.97558047313096885</v>
      </c>
      <c r="N4">
        <v>0.87699950090871992</v>
      </c>
      <c r="O4">
        <v>0.78480487879540384</v>
      </c>
      <c r="P4">
        <v>0.84837488264594874</v>
      </c>
    </row>
    <row r="5" spans="1:16" x14ac:dyDescent="0.25">
      <c r="A5" s="1" t="s">
        <v>8</v>
      </c>
      <c r="B5">
        <v>0.4644138183829789</v>
      </c>
      <c r="C5">
        <v>0.32501226961925689</v>
      </c>
      <c r="D5">
        <v>0.54898010962372368</v>
      </c>
      <c r="E5">
        <v>0</v>
      </c>
      <c r="F5">
        <v>0.50818043833130566</v>
      </c>
      <c r="G5">
        <v>0.56134183056229259</v>
      </c>
      <c r="H5">
        <v>0.68151071656899387</v>
      </c>
      <c r="I5">
        <v>0.73922858102698363</v>
      </c>
      <c r="J5">
        <v>0.85664799288073123</v>
      </c>
      <c r="K5">
        <v>0.61221893196424193</v>
      </c>
      <c r="L5">
        <v>0.66940935944786772</v>
      </c>
      <c r="M5">
        <v>1</v>
      </c>
      <c r="N5">
        <v>0.8326337059153226</v>
      </c>
      <c r="O5">
        <v>0.83398227897083521</v>
      </c>
      <c r="P5">
        <v>0.89398801990113108</v>
      </c>
    </row>
    <row r="6" spans="1:16" x14ac:dyDescent="0.25">
      <c r="A6" s="1" t="s">
        <v>9</v>
      </c>
      <c r="B6">
        <v>0.46778126980918711</v>
      </c>
      <c r="C6">
        <v>0.43871105997075899</v>
      </c>
      <c r="D6">
        <v>0.52741810184431359</v>
      </c>
      <c r="E6">
        <v>0.50818043833130566</v>
      </c>
      <c r="F6">
        <v>0</v>
      </c>
      <c r="G6">
        <v>0.53525197986701167</v>
      </c>
      <c r="H6">
        <v>0.72194496400347996</v>
      </c>
      <c r="I6">
        <v>0.76139601889682729</v>
      </c>
      <c r="J6">
        <v>0.72185357488994162</v>
      </c>
      <c r="K6">
        <v>0.77667500038197057</v>
      </c>
      <c r="L6">
        <v>0.74029399908765081</v>
      </c>
      <c r="M6">
        <v>0.94171999428409281</v>
      </c>
      <c r="N6">
        <v>0.71931715148161213</v>
      </c>
      <c r="O6">
        <v>0.74326904442762831</v>
      </c>
      <c r="P6">
        <v>0.98984455381423209</v>
      </c>
    </row>
    <row r="7" spans="1:16" x14ac:dyDescent="0.25">
      <c r="A7" s="1" t="s">
        <v>12</v>
      </c>
      <c r="B7">
        <v>0.46049459397653197</v>
      </c>
      <c r="C7">
        <v>0.37392885866014941</v>
      </c>
      <c r="D7">
        <v>0.43175987631263418</v>
      </c>
      <c r="E7">
        <v>0.56134183056229259</v>
      </c>
      <c r="F7">
        <v>0.53525197986701167</v>
      </c>
      <c r="G7">
        <v>0</v>
      </c>
      <c r="H7">
        <v>0.59444316676541464</v>
      </c>
      <c r="I7">
        <v>0.71345113630003831</v>
      </c>
      <c r="J7">
        <v>0.89173305599335095</v>
      </c>
      <c r="K7">
        <v>0.76275951691230637</v>
      </c>
      <c r="L7">
        <v>0.76736809068572598</v>
      </c>
      <c r="M7">
        <v>0.96280608762590381</v>
      </c>
      <c r="N7">
        <v>0.80576750074545633</v>
      </c>
      <c r="O7">
        <v>0.83592331917629914</v>
      </c>
      <c r="P7">
        <v>0.96600653712196882</v>
      </c>
    </row>
    <row r="8" spans="1:16" x14ac:dyDescent="0.25">
      <c r="A8" s="1" t="s">
        <v>2</v>
      </c>
      <c r="B8">
        <v>0.57302001145754866</v>
      </c>
      <c r="C8">
        <v>0.5786793737093584</v>
      </c>
      <c r="D8">
        <v>0.60413969598154582</v>
      </c>
      <c r="E8">
        <v>0.68151071656899387</v>
      </c>
      <c r="F8">
        <v>0.72194496400347996</v>
      </c>
      <c r="G8">
        <v>0.59444316676541464</v>
      </c>
      <c r="H8">
        <v>0</v>
      </c>
      <c r="I8">
        <v>0.48461535635248931</v>
      </c>
      <c r="J8">
        <v>0.7113348426745536</v>
      </c>
      <c r="K8">
        <v>0.48537864387052748</v>
      </c>
      <c r="L8">
        <v>0.46441301337806462</v>
      </c>
      <c r="M8">
        <v>0.72773870604104329</v>
      </c>
      <c r="N8">
        <v>0.56414247933448625</v>
      </c>
      <c r="O8">
        <v>0.61289338683594319</v>
      </c>
      <c r="P8">
        <v>0.59599271816177313</v>
      </c>
    </row>
    <row r="9" spans="1:16" x14ac:dyDescent="0.25">
      <c r="A9" s="1" t="s">
        <v>3</v>
      </c>
      <c r="B9">
        <v>0.70239455676482687</v>
      </c>
      <c r="C9">
        <v>0.64605523357761452</v>
      </c>
      <c r="D9">
        <v>0.66902798471503777</v>
      </c>
      <c r="E9">
        <v>0.73922858102698363</v>
      </c>
      <c r="F9">
        <v>0.76139601889682729</v>
      </c>
      <c r="G9">
        <v>0.71345113630003831</v>
      </c>
      <c r="H9">
        <v>0.48461535635248931</v>
      </c>
      <c r="I9">
        <v>0</v>
      </c>
      <c r="J9">
        <v>0.77480104118525983</v>
      </c>
      <c r="K9">
        <v>0.64130858161714688</v>
      </c>
      <c r="L9">
        <v>0.51622509998456412</v>
      </c>
      <c r="M9">
        <v>0.62893400862874937</v>
      </c>
      <c r="N9">
        <v>0.68875283427638145</v>
      </c>
      <c r="O9">
        <v>0.53241328610326</v>
      </c>
      <c r="P9">
        <v>0.59928021680834098</v>
      </c>
    </row>
    <row r="10" spans="1:16" x14ac:dyDescent="0.25">
      <c r="A10" s="1" t="s">
        <v>10</v>
      </c>
      <c r="B10">
        <v>0.81394488341835047</v>
      </c>
      <c r="C10">
        <v>0.80205181012720606</v>
      </c>
      <c r="D10">
        <v>0.77007897703225348</v>
      </c>
      <c r="E10">
        <v>0.85664799288073123</v>
      </c>
      <c r="F10">
        <v>0.72185357488994162</v>
      </c>
      <c r="G10">
        <v>0.89173305599335095</v>
      </c>
      <c r="H10">
        <v>0.7113348426745536</v>
      </c>
      <c r="I10">
        <v>0.77480104118525983</v>
      </c>
      <c r="J10">
        <v>0</v>
      </c>
      <c r="K10">
        <v>0.86906644443988157</v>
      </c>
      <c r="L10">
        <v>0.84978127397399061</v>
      </c>
      <c r="M10">
        <v>0.96393475498928483</v>
      </c>
      <c r="N10">
        <v>0.78748309018997653</v>
      </c>
      <c r="O10">
        <v>0.73487526813289827</v>
      </c>
      <c r="P10">
        <v>0.87053424955874514</v>
      </c>
    </row>
    <row r="11" spans="1:16" x14ac:dyDescent="0.25">
      <c r="A11" s="1" t="s">
        <v>13</v>
      </c>
      <c r="B11">
        <v>0.76905529677140583</v>
      </c>
      <c r="C11">
        <v>0.66602175246008144</v>
      </c>
      <c r="D11">
        <v>0.77450527999869601</v>
      </c>
      <c r="E11">
        <v>0.61221893196424193</v>
      </c>
      <c r="F11">
        <v>0.77667500038197057</v>
      </c>
      <c r="G11">
        <v>0.76275951691230637</v>
      </c>
      <c r="H11">
        <v>0.48537864387052748</v>
      </c>
      <c r="I11">
        <v>0.64130858161714688</v>
      </c>
      <c r="J11">
        <v>0.86906644443988157</v>
      </c>
      <c r="K11">
        <v>0</v>
      </c>
      <c r="L11">
        <v>0.59929896277730599</v>
      </c>
      <c r="M11">
        <v>0.76828075968089382</v>
      </c>
      <c r="N11">
        <v>0.74029908193820404</v>
      </c>
      <c r="O11">
        <v>0.6708946005797749</v>
      </c>
      <c r="P11">
        <v>0.68071629263393951</v>
      </c>
    </row>
    <row r="12" spans="1:16" x14ac:dyDescent="0.25">
      <c r="A12" s="1" t="s">
        <v>14</v>
      </c>
      <c r="B12">
        <v>0.6355418043402401</v>
      </c>
      <c r="C12">
        <v>0.66749336127530701</v>
      </c>
      <c r="D12">
        <v>0.77757361900066602</v>
      </c>
      <c r="E12">
        <v>0.66940935944786772</v>
      </c>
      <c r="F12">
        <v>0.7402939990876507</v>
      </c>
      <c r="G12">
        <v>0.7673680906857262</v>
      </c>
      <c r="H12">
        <v>0.46441301337806462</v>
      </c>
      <c r="I12">
        <v>0.51622509998456412</v>
      </c>
      <c r="J12">
        <v>0.84978127397399061</v>
      </c>
      <c r="K12">
        <v>0.59929896277730599</v>
      </c>
      <c r="L12">
        <v>0</v>
      </c>
      <c r="M12">
        <v>0.72757889486247429</v>
      </c>
      <c r="N12">
        <v>0.56196151868474853</v>
      </c>
      <c r="O12">
        <v>0.61808360511915483</v>
      </c>
      <c r="P12">
        <v>0.65184755472869338</v>
      </c>
    </row>
    <row r="13" spans="1:16" x14ac:dyDescent="0.25">
      <c r="A13" s="1" t="s">
        <v>1</v>
      </c>
      <c r="B13">
        <v>0.92009466817809427</v>
      </c>
      <c r="C13">
        <v>0.89355603045911758</v>
      </c>
      <c r="D13">
        <v>0.97558047313096885</v>
      </c>
      <c r="E13">
        <v>1</v>
      </c>
      <c r="F13">
        <v>0.94171999428409281</v>
      </c>
      <c r="G13">
        <v>0.96280608762590381</v>
      </c>
      <c r="H13">
        <v>0.72773870604104329</v>
      </c>
      <c r="I13">
        <v>0.62893400862874937</v>
      </c>
      <c r="J13">
        <v>0.9639347549892846</v>
      </c>
      <c r="K13">
        <v>0.76828075968089382</v>
      </c>
      <c r="L13">
        <v>0.72757889486247429</v>
      </c>
      <c r="M13">
        <v>0</v>
      </c>
      <c r="N13">
        <v>0.67592133728295156</v>
      </c>
      <c r="O13">
        <v>0.47925089978643681</v>
      </c>
      <c r="P13">
        <v>0.59048003861730847</v>
      </c>
    </row>
    <row r="14" spans="1:16" x14ac:dyDescent="0.25">
      <c r="A14" s="1" t="s">
        <v>5</v>
      </c>
      <c r="B14">
        <v>0.74064310600245997</v>
      </c>
      <c r="C14">
        <v>0.79138731851404165</v>
      </c>
      <c r="D14">
        <v>0.87699950090871992</v>
      </c>
      <c r="E14">
        <v>0.8326337059153226</v>
      </c>
      <c r="F14">
        <v>0.71931715148161213</v>
      </c>
      <c r="G14">
        <v>0.80576750074545633</v>
      </c>
      <c r="H14">
        <v>0.56414247933448625</v>
      </c>
      <c r="I14">
        <v>0.68875283427638134</v>
      </c>
      <c r="J14">
        <v>0.78748309018997653</v>
      </c>
      <c r="K14">
        <v>0.74029908193820404</v>
      </c>
      <c r="L14">
        <v>0.56196151868474853</v>
      </c>
      <c r="M14">
        <v>0.67592133728295156</v>
      </c>
      <c r="N14">
        <v>0</v>
      </c>
      <c r="O14">
        <v>0.49918785452221098</v>
      </c>
      <c r="P14">
        <v>0.69917602506583088</v>
      </c>
    </row>
    <row r="15" spans="1:16" x14ac:dyDescent="0.25">
      <c r="A15" s="1" t="s">
        <v>11</v>
      </c>
      <c r="B15">
        <v>0.81708791794336522</v>
      </c>
      <c r="C15">
        <v>0.76764539423983547</v>
      </c>
      <c r="D15">
        <v>0.78480487879540384</v>
      </c>
      <c r="E15">
        <v>0.83398227897083521</v>
      </c>
      <c r="F15">
        <v>0.74326904442762831</v>
      </c>
      <c r="G15">
        <v>0.83592331917629914</v>
      </c>
      <c r="H15">
        <v>0.61289338683594319</v>
      </c>
      <c r="I15">
        <v>0.53241328610326</v>
      </c>
      <c r="J15">
        <v>0.73487526813289827</v>
      </c>
      <c r="K15">
        <v>0.6708946005797749</v>
      </c>
      <c r="L15">
        <v>0.61808360511915483</v>
      </c>
      <c r="M15">
        <v>0.47925089978643681</v>
      </c>
      <c r="N15">
        <v>0.49918785452221098</v>
      </c>
      <c r="O15">
        <v>0</v>
      </c>
      <c r="P15">
        <v>0.54119097131090366</v>
      </c>
    </row>
    <row r="16" spans="1:16" x14ac:dyDescent="0.25">
      <c r="A16" s="1" t="s">
        <v>15</v>
      </c>
      <c r="B16">
        <v>0.89047909170013095</v>
      </c>
      <c r="C16">
        <v>0.88110185937058427</v>
      </c>
      <c r="D16">
        <v>0.84837488264594874</v>
      </c>
      <c r="E16">
        <v>0.89398801990113108</v>
      </c>
      <c r="F16">
        <v>0.98984455381423209</v>
      </c>
      <c r="G16">
        <v>0.96600653712196871</v>
      </c>
      <c r="H16">
        <v>0.59599271816177313</v>
      </c>
      <c r="I16">
        <v>0.59928021680834098</v>
      </c>
      <c r="J16">
        <v>0.87053424955874514</v>
      </c>
      <c r="K16">
        <v>0.68071629263393951</v>
      </c>
      <c r="L16">
        <v>0.65184755472869338</v>
      </c>
      <c r="M16">
        <v>0.59048003861730847</v>
      </c>
      <c r="N16">
        <v>0.69917602506583088</v>
      </c>
      <c r="O16">
        <v>0.54119097131090366</v>
      </c>
      <c r="P16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64</v>
      </c>
      <c r="B1" s="1" t="s">
        <v>65</v>
      </c>
    </row>
    <row r="2" spans="1:2" x14ac:dyDescent="0.25">
      <c r="A2" t="s">
        <v>66</v>
      </c>
      <c r="B2">
        <v>15</v>
      </c>
    </row>
    <row r="3" spans="1:2" x14ac:dyDescent="0.25">
      <c r="A3" t="s">
        <v>67</v>
      </c>
      <c r="B3">
        <v>105</v>
      </c>
    </row>
    <row r="4" spans="1:2" x14ac:dyDescent="0.25">
      <c r="A4" t="s">
        <v>68</v>
      </c>
      <c r="B4">
        <v>2.9014969611009769</v>
      </c>
    </row>
    <row r="5" spans="1:2" x14ac:dyDescent="0.25">
      <c r="A5" t="s">
        <v>69</v>
      </c>
      <c r="B5">
        <v>2.0071781311261292</v>
      </c>
    </row>
    <row r="6" spans="1:2" x14ac:dyDescent="0.25">
      <c r="A6" t="s">
        <v>70</v>
      </c>
      <c r="B6">
        <v>2.0639358843454589</v>
      </c>
    </row>
    <row r="7" spans="1:2" x14ac:dyDescent="0.25">
      <c r="A7" t="s">
        <v>71</v>
      </c>
      <c r="B7">
        <v>1.566436616784904</v>
      </c>
    </row>
    <row r="8" spans="1:2" x14ac:dyDescent="0.25">
      <c r="A8" t="s">
        <v>72</v>
      </c>
      <c r="B8">
        <v>1.4744839975092461</v>
      </c>
    </row>
    <row r="9" spans="1:2" x14ac:dyDescent="0.25">
      <c r="A9" t="s">
        <v>73</v>
      </c>
      <c r="B9">
        <v>2.1918130898366428</v>
      </c>
    </row>
    <row r="10" spans="1:2" x14ac:dyDescent="0.25">
      <c r="A10" t="s">
        <v>74</v>
      </c>
      <c r="B10">
        <v>2.1828905543553589</v>
      </c>
    </row>
    <row r="11" spans="1:2" x14ac:dyDescent="0.25">
      <c r="A11" t="s">
        <v>75</v>
      </c>
      <c r="B11">
        <v>0.69177330117364755</v>
      </c>
    </row>
    <row r="12" spans="1:2" x14ac:dyDescent="0.25">
      <c r="A12" t="s">
        <v>76</v>
      </c>
      <c r="B12">
        <v>0.7113348426745536</v>
      </c>
    </row>
    <row r="13" spans="1:2" x14ac:dyDescent="0.25">
      <c r="A13" t="s">
        <v>77</v>
      </c>
      <c r="B13">
        <v>0.53987187916630341</v>
      </c>
    </row>
    <row r="14" spans="1:2" x14ac:dyDescent="0.25">
      <c r="A14" t="s">
        <v>78</v>
      </c>
      <c r="B14">
        <v>0.50818043833130566</v>
      </c>
    </row>
    <row r="15" spans="1:2" x14ac:dyDescent="0.25">
      <c r="A15" t="s">
        <v>79</v>
      </c>
      <c r="B15">
        <v>0.7554076806632104</v>
      </c>
    </row>
    <row r="16" spans="1:2" x14ac:dyDescent="0.25">
      <c r="A16" t="s">
        <v>80</v>
      </c>
      <c r="B16">
        <v>0.7523325316622278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3" t="s">
        <v>43</v>
      </c>
      <c r="B1" s="3" t="s">
        <v>81</v>
      </c>
    </row>
    <row r="2" spans="1:2" x14ac:dyDescent="0.25">
      <c r="A2" s="4" t="s">
        <v>40</v>
      </c>
      <c r="B2" s="5">
        <v>42</v>
      </c>
    </row>
    <row r="3" spans="1:2" x14ac:dyDescent="0.25">
      <c r="A3" s="4" t="s">
        <v>35</v>
      </c>
      <c r="B3" s="5">
        <v>51</v>
      </c>
    </row>
    <row r="4" spans="1:2" x14ac:dyDescent="0.25">
      <c r="A4" s="4" t="s">
        <v>36</v>
      </c>
      <c r="B4" s="5">
        <v>61</v>
      </c>
    </row>
    <row r="5" spans="1:2" x14ac:dyDescent="0.25">
      <c r="A5" s="4" t="s">
        <v>41</v>
      </c>
      <c r="B5" s="5">
        <v>61</v>
      </c>
    </row>
    <row r="6" spans="1:2" x14ac:dyDescent="0.25">
      <c r="A6" s="4" t="s">
        <v>34</v>
      </c>
      <c r="B6" s="5">
        <v>65</v>
      </c>
    </row>
    <row r="7" spans="1:2" x14ac:dyDescent="0.25">
      <c r="A7" s="4" t="s">
        <v>32</v>
      </c>
      <c r="B7" s="5">
        <v>68</v>
      </c>
    </row>
    <row r="8" spans="1:2" x14ac:dyDescent="0.25">
      <c r="A8" s="4" t="s">
        <v>30</v>
      </c>
      <c r="B8" s="5">
        <v>69</v>
      </c>
    </row>
    <row r="9" spans="1:2" x14ac:dyDescent="0.25">
      <c r="A9" s="4" t="s">
        <v>27</v>
      </c>
      <c r="B9" s="5">
        <v>75</v>
      </c>
    </row>
    <row r="10" spans="1:2" x14ac:dyDescent="0.25">
      <c r="A10" s="4" t="s">
        <v>31</v>
      </c>
      <c r="B10" s="5">
        <v>75</v>
      </c>
    </row>
    <row r="11" spans="1:2" x14ac:dyDescent="0.25">
      <c r="A11" s="4" t="s">
        <v>29</v>
      </c>
      <c r="B11" s="5">
        <v>77</v>
      </c>
    </row>
    <row r="12" spans="1:2" x14ac:dyDescent="0.25">
      <c r="A12" s="4" t="s">
        <v>33</v>
      </c>
      <c r="B12" s="5">
        <v>91</v>
      </c>
    </row>
    <row r="13" spans="1:2" x14ac:dyDescent="0.25">
      <c r="A13" s="4" t="s">
        <v>38</v>
      </c>
      <c r="B13" s="5">
        <v>100</v>
      </c>
    </row>
    <row r="14" spans="1:2" x14ac:dyDescent="0.25">
      <c r="A14" s="4" t="s">
        <v>37</v>
      </c>
      <c r="B14" s="5">
        <v>100</v>
      </c>
    </row>
    <row r="15" spans="1:2" x14ac:dyDescent="0.25">
      <c r="A15" s="4" t="s">
        <v>39</v>
      </c>
      <c r="B15" s="5">
        <v>105</v>
      </c>
    </row>
    <row r="16" spans="1:2" x14ac:dyDescent="0.25">
      <c r="A16" s="4" t="s">
        <v>28</v>
      </c>
      <c r="B16" s="5">
        <v>120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Distance_Matrix</vt:lpstr>
      <vt:lpstr>Normalized_Distance_Matrix</vt:lpstr>
      <vt:lpstr>Pairwise_105</vt:lpstr>
      <vt:lpstr>Benchmark_PCA_Cluster</vt:lpstr>
      <vt:lpstr>Raw_Matrix_Sorted</vt:lpstr>
      <vt:lpstr>Normalized_Matrix_Sorted</vt:lpstr>
      <vt:lpstr>Summary</vt:lpstr>
      <vt:lpstr>Benchmark_Properties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Kunjie Song</cp:lastModifiedBy>
  <dcterms:modified xsi:type="dcterms:W3CDTF">2026-10-10T14:28:59Z</dcterms:modified>
</cp:coreProperties>
</file>