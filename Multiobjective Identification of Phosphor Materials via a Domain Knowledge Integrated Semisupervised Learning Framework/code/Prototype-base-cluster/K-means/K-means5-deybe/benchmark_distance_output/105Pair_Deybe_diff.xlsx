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459B63B0-B58B-4FD3-8F39-07DBBFB482D7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Distance_Matrix" sheetId="1" r:id="rId1"/>
    <sheet name="Normalized_Distance_Matrix" sheetId="2" r:id="rId2"/>
    <sheet name="Pairwise_105" sheetId="3" r:id="rId3"/>
    <sheet name="Benchmark_PCA_Cluster" sheetId="4" r:id="rId4"/>
    <sheet name="Raw_Matrix_Sorted" sheetId="5" r:id="rId5"/>
    <sheet name="Normalized_Matrix_Sorted" sheetId="6" r:id="rId6"/>
    <sheet name="Summary" sheetId="7" r:id="rId7"/>
    <sheet name="Debye_Referenc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6" i="3" l="1"/>
  <c r="K106" i="3"/>
  <c r="M106" i="3" s="1"/>
  <c r="L105" i="3"/>
  <c r="K105" i="3"/>
  <c r="M105" i="3" s="1"/>
  <c r="L104" i="3"/>
  <c r="K104" i="3"/>
  <c r="M104" i="3" s="1"/>
  <c r="L103" i="3"/>
  <c r="K103" i="3"/>
  <c r="M103" i="3" s="1"/>
  <c r="L102" i="3"/>
  <c r="K102" i="3"/>
  <c r="M102" i="3" s="1"/>
  <c r="L101" i="3"/>
  <c r="K101" i="3"/>
  <c r="M101" i="3" s="1"/>
  <c r="L100" i="3"/>
  <c r="K100" i="3"/>
  <c r="M100" i="3" s="1"/>
  <c r="L99" i="3"/>
  <c r="K99" i="3"/>
  <c r="M99" i="3" s="1"/>
  <c r="L98" i="3"/>
  <c r="K98" i="3"/>
  <c r="M98" i="3" s="1"/>
  <c r="L97" i="3"/>
  <c r="M97" i="3" s="1"/>
  <c r="K97" i="3"/>
  <c r="L96" i="3"/>
  <c r="K96" i="3"/>
  <c r="M96" i="3" s="1"/>
  <c r="L95" i="3"/>
  <c r="K95" i="3"/>
  <c r="M95" i="3" s="1"/>
  <c r="L94" i="3"/>
  <c r="K94" i="3"/>
  <c r="M94" i="3" s="1"/>
  <c r="L93" i="3"/>
  <c r="K93" i="3"/>
  <c r="M93" i="3" s="1"/>
  <c r="L92" i="3"/>
  <c r="K92" i="3"/>
  <c r="M92" i="3" s="1"/>
  <c r="L91" i="3"/>
  <c r="K91" i="3"/>
  <c r="M91" i="3" s="1"/>
  <c r="M90" i="3"/>
  <c r="L90" i="3"/>
  <c r="K90" i="3"/>
  <c r="L89" i="3"/>
  <c r="M89" i="3" s="1"/>
  <c r="K89" i="3"/>
  <c r="L88" i="3"/>
  <c r="M88" i="3" s="1"/>
  <c r="K88" i="3"/>
  <c r="L87" i="3"/>
  <c r="K87" i="3"/>
  <c r="M87" i="3" s="1"/>
  <c r="L86" i="3"/>
  <c r="M86" i="3" s="1"/>
  <c r="K86" i="3"/>
  <c r="L85" i="3"/>
  <c r="M85" i="3" s="1"/>
  <c r="K85" i="3"/>
  <c r="L84" i="3"/>
  <c r="K84" i="3"/>
  <c r="M84" i="3" s="1"/>
  <c r="L83" i="3"/>
  <c r="K83" i="3"/>
  <c r="M83" i="3" s="1"/>
  <c r="M82" i="3"/>
  <c r="L82" i="3"/>
  <c r="K82" i="3"/>
  <c r="L81" i="3"/>
  <c r="K81" i="3"/>
  <c r="M81" i="3" s="1"/>
  <c r="L80" i="3"/>
  <c r="K80" i="3"/>
  <c r="M80" i="3" s="1"/>
  <c r="M79" i="3"/>
  <c r="L79" i="3"/>
  <c r="K79" i="3"/>
  <c r="M78" i="3"/>
  <c r="L78" i="3"/>
  <c r="K78" i="3"/>
  <c r="L77" i="3"/>
  <c r="M77" i="3" s="1"/>
  <c r="K77" i="3"/>
  <c r="L76" i="3"/>
  <c r="K76" i="3"/>
  <c r="M76" i="3" s="1"/>
  <c r="L75" i="3"/>
  <c r="K75" i="3"/>
  <c r="M75" i="3" s="1"/>
  <c r="L74" i="3"/>
  <c r="K74" i="3"/>
  <c r="M74" i="3" s="1"/>
  <c r="L73" i="3"/>
  <c r="K73" i="3"/>
  <c r="M73" i="3" s="1"/>
  <c r="L72" i="3"/>
  <c r="K72" i="3"/>
  <c r="M72" i="3" s="1"/>
  <c r="L71" i="3"/>
  <c r="K71" i="3"/>
  <c r="M71" i="3" s="1"/>
  <c r="M70" i="3"/>
  <c r="L70" i="3"/>
  <c r="K70" i="3"/>
  <c r="L69" i="3"/>
  <c r="M69" i="3" s="1"/>
  <c r="K69" i="3"/>
  <c r="L68" i="3"/>
  <c r="M68" i="3" s="1"/>
  <c r="K68" i="3"/>
  <c r="L67" i="3"/>
  <c r="K67" i="3"/>
  <c r="M67" i="3" s="1"/>
  <c r="L66" i="3"/>
  <c r="M66" i="3" s="1"/>
  <c r="K66" i="3"/>
  <c r="L65" i="3"/>
  <c r="M65" i="3" s="1"/>
  <c r="K65" i="3"/>
  <c r="L64" i="3"/>
  <c r="K64" i="3"/>
  <c r="M64" i="3" s="1"/>
  <c r="L63" i="3"/>
  <c r="K63" i="3"/>
  <c r="M63" i="3" s="1"/>
  <c r="M62" i="3"/>
  <c r="L62" i="3"/>
  <c r="K62" i="3"/>
  <c r="L61" i="3"/>
  <c r="K61" i="3"/>
  <c r="M61" i="3" s="1"/>
  <c r="L60" i="3"/>
  <c r="K60" i="3"/>
  <c r="M60" i="3" s="1"/>
  <c r="M59" i="3"/>
  <c r="L59" i="3"/>
  <c r="K59" i="3"/>
  <c r="M58" i="3"/>
  <c r="L58" i="3"/>
  <c r="K58" i="3"/>
  <c r="L57" i="3"/>
  <c r="M57" i="3" s="1"/>
  <c r="K57" i="3"/>
  <c r="L56" i="3"/>
  <c r="K56" i="3"/>
  <c r="M56" i="3" s="1"/>
  <c r="L55" i="3"/>
  <c r="K55" i="3"/>
  <c r="M55" i="3" s="1"/>
  <c r="L54" i="3"/>
  <c r="K54" i="3"/>
  <c r="M54" i="3" s="1"/>
  <c r="L53" i="3"/>
  <c r="K53" i="3"/>
  <c r="M53" i="3" s="1"/>
  <c r="L52" i="3"/>
  <c r="K52" i="3"/>
  <c r="M52" i="3" s="1"/>
  <c r="L51" i="3"/>
  <c r="K51" i="3"/>
  <c r="M51" i="3" s="1"/>
  <c r="M50" i="3"/>
  <c r="L50" i="3"/>
  <c r="K50" i="3"/>
  <c r="L49" i="3"/>
  <c r="M49" i="3" s="1"/>
  <c r="K49" i="3"/>
  <c r="L48" i="3"/>
  <c r="M48" i="3" s="1"/>
  <c r="K48" i="3"/>
  <c r="L47" i="3"/>
  <c r="K47" i="3"/>
  <c r="M47" i="3" s="1"/>
  <c r="L46" i="3"/>
  <c r="M46" i="3" s="1"/>
  <c r="K46" i="3"/>
  <c r="L45" i="3"/>
  <c r="M45" i="3" s="1"/>
  <c r="K45" i="3"/>
  <c r="L44" i="3"/>
  <c r="K44" i="3"/>
  <c r="M44" i="3" s="1"/>
  <c r="L43" i="3"/>
  <c r="K43" i="3"/>
  <c r="M43" i="3" s="1"/>
  <c r="M42" i="3"/>
  <c r="L42" i="3"/>
  <c r="K42" i="3"/>
  <c r="L41" i="3"/>
  <c r="K41" i="3"/>
  <c r="M41" i="3" s="1"/>
  <c r="L40" i="3"/>
  <c r="K40" i="3"/>
  <c r="M40" i="3" s="1"/>
  <c r="M39" i="3"/>
  <c r="L39" i="3"/>
  <c r="K39" i="3"/>
  <c r="M38" i="3"/>
  <c r="L38" i="3"/>
  <c r="K38" i="3"/>
  <c r="L37" i="3"/>
  <c r="M37" i="3" s="1"/>
  <c r="K37" i="3"/>
  <c r="L36" i="3"/>
  <c r="K36" i="3"/>
  <c r="M36" i="3" s="1"/>
  <c r="L35" i="3"/>
  <c r="K35" i="3"/>
  <c r="M35" i="3" s="1"/>
  <c r="L34" i="3"/>
  <c r="K34" i="3"/>
  <c r="M34" i="3" s="1"/>
  <c r="L33" i="3"/>
  <c r="K33" i="3"/>
  <c r="M33" i="3" s="1"/>
  <c r="L32" i="3"/>
  <c r="K32" i="3"/>
  <c r="M32" i="3" s="1"/>
  <c r="L31" i="3"/>
  <c r="K31" i="3"/>
  <c r="M31" i="3" s="1"/>
  <c r="M30" i="3"/>
  <c r="L30" i="3"/>
  <c r="K30" i="3"/>
  <c r="L29" i="3"/>
  <c r="M29" i="3" s="1"/>
  <c r="K29" i="3"/>
  <c r="L28" i="3"/>
  <c r="M28" i="3" s="1"/>
  <c r="K28" i="3"/>
  <c r="L27" i="3"/>
  <c r="K27" i="3"/>
  <c r="M27" i="3" s="1"/>
  <c r="L26" i="3"/>
  <c r="M26" i="3" s="1"/>
  <c r="K26" i="3"/>
  <c r="L25" i="3"/>
  <c r="M25" i="3" s="1"/>
  <c r="K25" i="3"/>
  <c r="L24" i="3"/>
  <c r="K24" i="3"/>
  <c r="M24" i="3" s="1"/>
  <c r="L23" i="3"/>
  <c r="K23" i="3"/>
  <c r="M23" i="3" s="1"/>
  <c r="M22" i="3"/>
  <c r="L22" i="3"/>
  <c r="K22" i="3"/>
  <c r="L21" i="3"/>
  <c r="K21" i="3"/>
  <c r="M21" i="3" s="1"/>
  <c r="L20" i="3"/>
  <c r="K20" i="3"/>
  <c r="M20" i="3" s="1"/>
  <c r="M19" i="3"/>
  <c r="L19" i="3"/>
  <c r="K19" i="3"/>
  <c r="M18" i="3"/>
  <c r="L18" i="3"/>
  <c r="K18" i="3"/>
  <c r="L17" i="3"/>
  <c r="M17" i="3" s="1"/>
  <c r="K17" i="3"/>
  <c r="L16" i="3"/>
  <c r="K16" i="3"/>
  <c r="M16" i="3" s="1"/>
  <c r="L15" i="3"/>
  <c r="K15" i="3"/>
  <c r="M15" i="3" s="1"/>
  <c r="L14" i="3"/>
  <c r="K14" i="3"/>
  <c r="M14" i="3" s="1"/>
  <c r="L13" i="3"/>
  <c r="K13" i="3"/>
  <c r="M13" i="3" s="1"/>
  <c r="L12" i="3"/>
  <c r="K12" i="3"/>
  <c r="M12" i="3" s="1"/>
  <c r="L11" i="3"/>
  <c r="K11" i="3"/>
  <c r="M11" i="3" s="1"/>
  <c r="M10" i="3"/>
  <c r="L10" i="3"/>
  <c r="K10" i="3"/>
  <c r="L9" i="3"/>
  <c r="M9" i="3" s="1"/>
  <c r="K9" i="3"/>
  <c r="L8" i="3"/>
  <c r="M8" i="3" s="1"/>
  <c r="K8" i="3"/>
  <c r="L7" i="3"/>
  <c r="K7" i="3"/>
  <c r="M7" i="3" s="1"/>
  <c r="L6" i="3"/>
  <c r="M6" i="3" s="1"/>
  <c r="K6" i="3"/>
  <c r="L5" i="3"/>
  <c r="M5" i="3" s="1"/>
  <c r="K5" i="3"/>
  <c r="L4" i="3"/>
  <c r="K4" i="3"/>
  <c r="M4" i="3" s="1"/>
  <c r="L3" i="3"/>
  <c r="K3" i="3"/>
  <c r="M3" i="3" s="1"/>
  <c r="M2" i="3"/>
  <c r="L2" i="3"/>
  <c r="K2" i="3"/>
</calcChain>
</file>

<file path=xl/sharedStrings.xml><?xml version="1.0" encoding="utf-8"?>
<sst xmlns="http://schemas.openxmlformats.org/spreadsheetml/2006/main" count="433" uniqueCount="99">
  <si>
    <t>Benchmark</t>
  </si>
  <si>
    <t>14 | K2RbNaLi12(SiO4)4</t>
  </si>
  <si>
    <t>15 | Rb2ZrSi2O7</t>
  </si>
  <si>
    <t>16 | Sr2LiSiO4F</t>
  </si>
  <si>
    <t>17 | SrAl2O4</t>
  </si>
  <si>
    <t>95 | Na3YSi2O7</t>
  </si>
  <si>
    <t>111 | Ba2MgSi2O7</t>
  </si>
  <si>
    <t>142 | Ba2Ca(BO3)2</t>
  </si>
  <si>
    <t>144 | Ba2Mg(PO4)2</t>
  </si>
  <si>
    <t>153 | Ba3Si6(NO6)2</t>
  </si>
  <si>
    <t>157 | BaNa(B3O5)3</t>
  </si>
  <si>
    <t>171 | BaLi2SiO4</t>
  </si>
  <si>
    <t>180 | Ba6Y2Al4O15</t>
  </si>
  <si>
    <t>199 | Cs2BaP2O7</t>
  </si>
  <si>
    <t>261 | NaCaPO4</t>
  </si>
  <si>
    <t>283 | RbLi7(SiO4)2</t>
  </si>
  <si>
    <t>Pair_Rank_From_Nearest</t>
  </si>
  <si>
    <t>Benchmark_A_Number</t>
  </si>
  <si>
    <t>Benchmark_A_Composition</t>
  </si>
  <si>
    <t>Cluster_A</t>
  </si>
  <si>
    <t>Benchmark_B_Number</t>
  </si>
  <si>
    <t>Benchmark_B_Composition</t>
  </si>
  <si>
    <t>Cluster_B</t>
  </si>
  <si>
    <t>Same_Cluster</t>
  </si>
  <si>
    <t>Euclidean_Distance</t>
  </si>
  <si>
    <t>Normalized_Euclidean_Distance</t>
  </si>
  <si>
    <t>Benchmark_A_Debye_K</t>
  </si>
  <si>
    <t>Benchmark_B_Debye_K</t>
  </si>
  <si>
    <t>Ba2MgSi2O7</t>
  </si>
  <si>
    <t>Ba2Mg(PO4)2</t>
  </si>
  <si>
    <t>SrAl2O4</t>
  </si>
  <si>
    <t>Ba6Y2Al4O15</t>
  </si>
  <si>
    <t>Ba2Ca(BO3)2</t>
  </si>
  <si>
    <t>Ba3Si6(NO6)2</t>
  </si>
  <si>
    <t>Sr2LiSiO4F</t>
  </si>
  <si>
    <t>NaCaPO4</t>
  </si>
  <si>
    <t>Na3YSi2O7</t>
  </si>
  <si>
    <t>BaLi2SiO4</t>
  </si>
  <si>
    <t>Rb2ZrSi2O7</t>
  </si>
  <si>
    <t>RbLi7(SiO4)2</t>
  </si>
  <si>
    <t>Cs2BaP2O7</t>
  </si>
  <si>
    <t>K2RbNaLi12(SiO4)4</t>
  </si>
  <si>
    <t>BaNa(B3O5)3</t>
  </si>
  <si>
    <t>Number</t>
  </si>
  <si>
    <t>Composition</t>
  </si>
  <si>
    <t>Cluster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</si>
  <si>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</si>
  <si>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</si>
  <si>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</si>
  <si>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</si>
  <si>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</si>
  <si>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</si>
  <si>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</si>
  <si>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</si>
  <si>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</si>
  <si>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</si>
  <si>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</si>
  <si>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</si>
  <si>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</si>
  <si>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</si>
  <si>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</si>
  <si>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</si>
  <si>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</si>
  <si>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</si>
  <si>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</si>
  <si>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</si>
  <si>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</si>
  <si>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</si>
  <si>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</si>
  <si>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</si>
  <si>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</si>
  <si>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</si>
  <si>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</si>
  <si>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</si>
  <si>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</si>
  <si>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</si>
  <si>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PC31</t>
  </si>
  <si>
    <t>PC32</t>
  </si>
  <si>
    <t>PC33</t>
  </si>
  <si>
    <t>PC34</t>
  </si>
  <si>
    <t>Metric</t>
  </si>
  <si>
    <t>Value</t>
  </si>
  <si>
    <t>Number_of_benchmarks</t>
  </si>
  <si>
    <t>Number_of_unique_pairs</t>
  </si>
  <si>
    <t>Maximum_raw_distance</t>
  </si>
  <si>
    <t>Mean_raw_distance_all_pairs</t>
  </si>
  <si>
    <t>Median_raw_distance_all_pairs</t>
  </si>
  <si>
    <t>Mean_raw_distance_same_cluster</t>
  </si>
  <si>
    <t>Median_raw_distance_same_cluster</t>
  </si>
  <si>
    <t>Mean_raw_distance_different_cluster</t>
  </si>
  <si>
    <t>Median_raw_distance_different_cluster</t>
  </si>
  <si>
    <t>Mean_normalized_distance_all_pairs</t>
  </si>
  <si>
    <t>Median_normalized_distance_all_pairs</t>
  </si>
  <si>
    <t>Mean_normalized_distance_same_cluster</t>
  </si>
  <si>
    <t>Median_normalized_distance_same_cluster</t>
  </si>
  <si>
    <t>Mean_normalized_distance_different_cluster</t>
  </si>
  <si>
    <t>Median_normalized_distance_different_cluster</t>
  </si>
  <si>
    <t>Debye_Temperature_K</t>
  </si>
  <si>
    <t>Debye_Temperature_Difference_K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</si>
</sst>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1" xfId="1" applyFont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0" borderId="4" xfId="1" applyFont="1" applyBorder="1"/>
    <xf numFmtId="0" fontId="0" fillId="0" borderId="6" xfId="1" applyFont="1" applyBorder="1"/>
    <xf numFmtId="176" fontId="0" fillId="0" borderId="5" xfId="1" applyNumberFormat="1" applyFont="1" applyBorder="1"/>
    <xf numFmtId="176" fontId="0" fillId="0" borderId="7" xfId="1" applyNumberFormat="1" applyFont="1" applyBorder="1"/>
    <xf numFmtId="176" fontId="0" fillId="0" borderId="0" xfId="1" applyNumberFormat="1" applyFont="1" applyAlignment="1">
      <alignment horizont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76" fontId="0" fillId="0" borderId="4" xfId="1" applyNumberFormat="1" applyFont="1" applyBorder="1" applyAlignment="1">
      <alignment horizontal="center"/>
    </xf>
    <xf numFmtId="176" fontId="0" fillId="0" borderId="5" xfId="1" applyNumberFormat="1" applyFont="1" applyBorder="1" applyAlignment="1">
      <alignment horizontal="center"/>
    </xf>
    <xf numFmtId="176" fontId="0" fillId="0" borderId="6" xfId="1" applyNumberFormat="1" applyFont="1" applyBorder="1" applyAlignment="1">
      <alignment horizontal="center"/>
    </xf>
    <xf numFmtId="176" fontId="0" fillId="0" borderId="9" xfId="1" applyNumberFormat="1" applyFont="1" applyBorder="1" applyAlignment="1">
      <alignment horizontal="center"/>
    </xf>
    <xf numFmtId="176" fontId="0" fillId="0" borderId="7" xfId="1" applyNumberFormat="1" applyFont="1" applyBorder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I27" sqref="I2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</v>
      </c>
      <c r="B2">
        <v>0</v>
      </c>
      <c r="C2">
        <v>2.4144556379500459</v>
      </c>
      <c r="D2">
        <v>2.016247920912444</v>
      </c>
      <c r="E2">
        <v>2.8570779467398828</v>
      </c>
      <c r="F2">
        <v>2.2538765256166449</v>
      </c>
      <c r="G2">
        <v>2.7431226083406899</v>
      </c>
      <c r="H2">
        <v>3.0194528678567738</v>
      </c>
      <c r="I2">
        <v>3.0749705045991438</v>
      </c>
      <c r="J2">
        <v>2.88884839561553</v>
      </c>
      <c r="K2">
        <v>2.9767916725470092</v>
      </c>
      <c r="L2">
        <v>1.7732557432736991</v>
      </c>
      <c r="M2">
        <v>2.9705865481595461</v>
      </c>
      <c r="N2">
        <v>2.489788798094958</v>
      </c>
      <c r="O2">
        <v>2.365725012003105</v>
      </c>
      <c r="P2">
        <v>1.9924709257389179</v>
      </c>
    </row>
    <row r="3" spans="1:16" x14ac:dyDescent="0.25">
      <c r="A3" s="1" t="s">
        <v>2</v>
      </c>
      <c r="B3">
        <v>2.4144556379500459</v>
      </c>
      <c r="C3">
        <v>0</v>
      </c>
      <c r="D3">
        <v>1.758815110567262</v>
      </c>
      <c r="E3">
        <v>1.8735012697186311</v>
      </c>
      <c r="F3">
        <v>1.986674609411845</v>
      </c>
      <c r="G3">
        <v>1.8849846617245309</v>
      </c>
      <c r="H3">
        <v>2.1264996456042931</v>
      </c>
      <c r="I3">
        <v>2.235107052864135</v>
      </c>
      <c r="J3">
        <v>2.263852509860623</v>
      </c>
      <c r="K3">
        <v>2.270305420339997</v>
      </c>
      <c r="L3">
        <v>1.980328397953113</v>
      </c>
      <c r="M3">
        <v>1.979083313402783</v>
      </c>
      <c r="N3">
        <v>1.7322346370501831</v>
      </c>
      <c r="O3">
        <v>1.668458410039074</v>
      </c>
      <c r="P3">
        <v>2.0543943981079482</v>
      </c>
    </row>
    <row r="4" spans="1:16" x14ac:dyDescent="0.25">
      <c r="A4" s="1" t="s">
        <v>3</v>
      </c>
      <c r="B4">
        <v>2.016247920912444</v>
      </c>
      <c r="C4">
        <v>1.758815110567262</v>
      </c>
      <c r="D4">
        <v>0</v>
      </c>
      <c r="E4">
        <v>2.178965593742312</v>
      </c>
      <c r="F4">
        <v>2.1683955547858549</v>
      </c>
      <c r="G4">
        <v>2.009659971198674</v>
      </c>
      <c r="H4">
        <v>2.0385978714642712</v>
      </c>
      <c r="I4">
        <v>2.2086724008449261</v>
      </c>
      <c r="J4">
        <v>2.308766294569891</v>
      </c>
      <c r="K4">
        <v>2.4447819717471431</v>
      </c>
      <c r="L4">
        <v>1.7377584037856051</v>
      </c>
      <c r="M4">
        <v>2.157444646586137</v>
      </c>
      <c r="N4">
        <v>1.958798867495954</v>
      </c>
      <c r="O4">
        <v>1.6174134997959979</v>
      </c>
      <c r="P4">
        <v>1.996588803042687</v>
      </c>
    </row>
    <row r="5" spans="1:16" x14ac:dyDescent="0.25">
      <c r="A5" s="1" t="s">
        <v>4</v>
      </c>
      <c r="B5">
        <v>2.8570779467398828</v>
      </c>
      <c r="C5">
        <v>1.8735012697186311</v>
      </c>
      <c r="D5">
        <v>2.178965593742312</v>
      </c>
      <c r="E5">
        <v>0</v>
      </c>
      <c r="F5">
        <v>2.342368064834158</v>
      </c>
      <c r="G5">
        <v>1.181756377155895</v>
      </c>
      <c r="H5">
        <v>1.609499118718329</v>
      </c>
      <c r="I5">
        <v>1.543253598661221</v>
      </c>
      <c r="J5">
        <v>1.575497471352046</v>
      </c>
      <c r="K5">
        <v>2.518034719528274</v>
      </c>
      <c r="L5">
        <v>2.4618412030107488</v>
      </c>
      <c r="M5">
        <v>1.470034073966157</v>
      </c>
      <c r="N5">
        <v>2.3733422022893489</v>
      </c>
      <c r="O5">
        <v>2.015947433453698</v>
      </c>
      <c r="P5">
        <v>2.7616396092668398</v>
      </c>
    </row>
    <row r="6" spans="1:16" x14ac:dyDescent="0.25">
      <c r="A6" s="1" t="s">
        <v>5</v>
      </c>
      <c r="B6">
        <v>2.2538765256166449</v>
      </c>
      <c r="C6">
        <v>1.986674609411845</v>
      </c>
      <c r="D6">
        <v>2.1683955547858549</v>
      </c>
      <c r="E6">
        <v>2.342368064834158</v>
      </c>
      <c r="F6">
        <v>0</v>
      </c>
      <c r="G6">
        <v>2.426944136894539</v>
      </c>
      <c r="H6">
        <v>2.5860042064783881</v>
      </c>
      <c r="I6">
        <v>2.4898082239251922</v>
      </c>
      <c r="J6">
        <v>2.2582323059593601</v>
      </c>
      <c r="K6">
        <v>2.4445253382026122</v>
      </c>
      <c r="L6">
        <v>1.645133935889765</v>
      </c>
      <c r="M6">
        <v>2.4791495409684199</v>
      </c>
      <c r="N6">
        <v>2.2095736250627822</v>
      </c>
      <c r="O6">
        <v>1.775065134530053</v>
      </c>
      <c r="P6">
        <v>2.2406705015562629</v>
      </c>
    </row>
    <row r="7" spans="1:16" x14ac:dyDescent="0.25">
      <c r="A7" s="1" t="s">
        <v>6</v>
      </c>
      <c r="B7">
        <v>2.7431226083406899</v>
      </c>
      <c r="C7">
        <v>1.8849846617245309</v>
      </c>
      <c r="D7">
        <v>2.009659971198674</v>
      </c>
      <c r="E7">
        <v>1.181756377155895</v>
      </c>
      <c r="F7">
        <v>2.426944136894539</v>
      </c>
      <c r="G7">
        <v>0</v>
      </c>
      <c r="H7">
        <v>1.324080238617545</v>
      </c>
      <c r="I7">
        <v>1.0777703180318881</v>
      </c>
      <c r="J7">
        <v>1.437360804981574</v>
      </c>
      <c r="K7">
        <v>2.4017672664785139</v>
      </c>
      <c r="L7">
        <v>2.2645891680606489</v>
      </c>
      <c r="M7">
        <v>1.307970617681786</v>
      </c>
      <c r="N7">
        <v>2.0473465573586669</v>
      </c>
      <c r="O7">
        <v>2.0682200756113609</v>
      </c>
      <c r="P7">
        <v>2.6687843642126352</v>
      </c>
    </row>
    <row r="8" spans="1:16" x14ac:dyDescent="0.25">
      <c r="A8" s="1" t="s">
        <v>7</v>
      </c>
      <c r="B8">
        <v>3.0194528678567738</v>
      </c>
      <c r="C8">
        <v>2.1264996456042931</v>
      </c>
      <c r="D8">
        <v>2.0385978714642712</v>
      </c>
      <c r="E8">
        <v>1.609499118718329</v>
      </c>
      <c r="F8">
        <v>2.5860042064783881</v>
      </c>
      <c r="G8">
        <v>1.324080238617545</v>
      </c>
      <c r="H8">
        <v>0</v>
      </c>
      <c r="I8">
        <v>1.6554882754484459</v>
      </c>
      <c r="J8">
        <v>1.7447530696791369</v>
      </c>
      <c r="K8">
        <v>2.3832262068588559</v>
      </c>
      <c r="L8">
        <v>2.380203013950501</v>
      </c>
      <c r="M8">
        <v>1.4424798990255421</v>
      </c>
      <c r="N8">
        <v>2.2957751854378339</v>
      </c>
      <c r="O8">
        <v>2.3355057840064259</v>
      </c>
      <c r="P8">
        <v>2.6341855213782268</v>
      </c>
    </row>
    <row r="9" spans="1:16" x14ac:dyDescent="0.25">
      <c r="A9" s="1" t="s">
        <v>8</v>
      </c>
      <c r="B9">
        <v>3.0749705045991438</v>
      </c>
      <c r="C9">
        <v>2.235107052864135</v>
      </c>
      <c r="D9">
        <v>2.208672400844927</v>
      </c>
      <c r="E9">
        <v>1.543253598661221</v>
      </c>
      <c r="F9">
        <v>2.4898082239251922</v>
      </c>
      <c r="G9">
        <v>1.0777703180318881</v>
      </c>
      <c r="H9">
        <v>1.6554882754484459</v>
      </c>
      <c r="I9">
        <v>0</v>
      </c>
      <c r="J9">
        <v>1.583206648218334</v>
      </c>
      <c r="K9">
        <v>2.6016925320797841</v>
      </c>
      <c r="L9">
        <v>2.4735723961930418</v>
      </c>
      <c r="M9">
        <v>1.7462092748200431</v>
      </c>
      <c r="N9">
        <v>1.8135547977334221</v>
      </c>
      <c r="O9">
        <v>1.9959154152502281</v>
      </c>
      <c r="P9">
        <v>2.7143326113759918</v>
      </c>
    </row>
    <row r="10" spans="1:16" x14ac:dyDescent="0.25">
      <c r="A10" s="1" t="s">
        <v>9</v>
      </c>
      <c r="B10">
        <v>2.88884839561553</v>
      </c>
      <c r="C10">
        <v>2.263852509860623</v>
      </c>
      <c r="D10">
        <v>2.308766294569891</v>
      </c>
      <c r="E10">
        <v>1.575497471352046</v>
      </c>
      <c r="F10">
        <v>2.2582323059593601</v>
      </c>
      <c r="G10">
        <v>1.437360804981574</v>
      </c>
      <c r="H10">
        <v>1.7447530696791369</v>
      </c>
      <c r="I10">
        <v>1.583206648218334</v>
      </c>
      <c r="J10">
        <v>0</v>
      </c>
      <c r="K10">
        <v>2.2182528844364602</v>
      </c>
      <c r="L10">
        <v>2.2407815840341052</v>
      </c>
      <c r="M10">
        <v>1.7412784705982309</v>
      </c>
      <c r="N10">
        <v>2.3799830950537082</v>
      </c>
      <c r="O10">
        <v>2.2659677677206069</v>
      </c>
      <c r="P10">
        <v>2.9677594375354861</v>
      </c>
    </row>
    <row r="11" spans="1:16" x14ac:dyDescent="0.25">
      <c r="A11" s="1" t="s">
        <v>10</v>
      </c>
      <c r="B11">
        <v>2.9767916725470092</v>
      </c>
      <c r="C11">
        <v>2.270305420339997</v>
      </c>
      <c r="D11">
        <v>2.4447819717471431</v>
      </c>
      <c r="E11">
        <v>2.518034719528274</v>
      </c>
      <c r="F11">
        <v>2.4445253382026122</v>
      </c>
      <c r="G11">
        <v>2.4017672664785139</v>
      </c>
      <c r="H11">
        <v>2.3832262068588559</v>
      </c>
      <c r="I11">
        <v>2.6016925320797841</v>
      </c>
      <c r="J11">
        <v>2.2182528844364602</v>
      </c>
      <c r="K11">
        <v>0</v>
      </c>
      <c r="L11">
        <v>2.2377856783839758</v>
      </c>
      <c r="M11">
        <v>2.757681048583712</v>
      </c>
      <c r="N11">
        <v>2.6938916819209142</v>
      </c>
      <c r="O11">
        <v>2.6072491274267868</v>
      </c>
      <c r="P11">
        <v>2.680706999208295</v>
      </c>
    </row>
    <row r="12" spans="1:16" x14ac:dyDescent="0.25">
      <c r="A12" s="1" t="s">
        <v>11</v>
      </c>
      <c r="B12">
        <v>1.7732557432736991</v>
      </c>
      <c r="C12">
        <v>1.980328397953113</v>
      </c>
      <c r="D12">
        <v>1.7377584037856051</v>
      </c>
      <c r="E12">
        <v>2.4618412030107488</v>
      </c>
      <c r="F12">
        <v>1.645133935889765</v>
      </c>
      <c r="G12">
        <v>2.2645891680606489</v>
      </c>
      <c r="H12">
        <v>2.380203013950501</v>
      </c>
      <c r="I12">
        <v>2.4735723961930418</v>
      </c>
      <c r="J12">
        <v>2.2407815840341052</v>
      </c>
      <c r="K12">
        <v>2.2377856783839758</v>
      </c>
      <c r="L12">
        <v>0</v>
      </c>
      <c r="M12">
        <v>2.5298607985674439</v>
      </c>
      <c r="N12">
        <v>2.0559669801156799</v>
      </c>
      <c r="O12">
        <v>1.9044502383269111</v>
      </c>
      <c r="P12">
        <v>1.7086903730986349</v>
      </c>
    </row>
    <row r="13" spans="1:16" x14ac:dyDescent="0.25">
      <c r="A13" s="1" t="s">
        <v>12</v>
      </c>
      <c r="B13">
        <v>2.970586548159547</v>
      </c>
      <c r="C13">
        <v>1.979083313402783</v>
      </c>
      <c r="D13">
        <v>2.157444646586137</v>
      </c>
      <c r="E13">
        <v>1.470034073966157</v>
      </c>
      <c r="F13">
        <v>2.4791495409684199</v>
      </c>
      <c r="G13">
        <v>1.307970617681786</v>
      </c>
      <c r="H13">
        <v>1.4424798990255421</v>
      </c>
      <c r="I13">
        <v>1.7462092748200431</v>
      </c>
      <c r="J13">
        <v>1.7412784705982309</v>
      </c>
      <c r="K13">
        <v>2.757681048583712</v>
      </c>
      <c r="L13">
        <v>2.5298607985674439</v>
      </c>
      <c r="M13">
        <v>0</v>
      </c>
      <c r="N13">
        <v>2.2945349432916089</v>
      </c>
      <c r="O13">
        <v>2.2852007245254429</v>
      </c>
      <c r="P13">
        <v>2.930765043786423</v>
      </c>
    </row>
    <row r="14" spans="1:16" x14ac:dyDescent="0.25">
      <c r="A14" s="1" t="s">
        <v>13</v>
      </c>
      <c r="B14">
        <v>2.489788798094958</v>
      </c>
      <c r="C14">
        <v>1.7322346370501831</v>
      </c>
      <c r="D14">
        <v>1.958798867495954</v>
      </c>
      <c r="E14">
        <v>2.3733422022893489</v>
      </c>
      <c r="F14">
        <v>2.2095736250627822</v>
      </c>
      <c r="G14">
        <v>2.0473465573586669</v>
      </c>
      <c r="H14">
        <v>2.2957751854378339</v>
      </c>
      <c r="I14">
        <v>1.8135547977334221</v>
      </c>
      <c r="J14">
        <v>2.3799830950537082</v>
      </c>
      <c r="K14">
        <v>2.6938916819209142</v>
      </c>
      <c r="L14">
        <v>2.0559669801156799</v>
      </c>
      <c r="M14">
        <v>2.2945349432916089</v>
      </c>
      <c r="N14">
        <v>0</v>
      </c>
      <c r="O14">
        <v>1.796756808732455</v>
      </c>
      <c r="P14">
        <v>2.193421516162295</v>
      </c>
    </row>
    <row r="15" spans="1:16" x14ac:dyDescent="0.25">
      <c r="A15" s="1" t="s">
        <v>14</v>
      </c>
      <c r="B15">
        <v>2.365725012003105</v>
      </c>
      <c r="C15">
        <v>1.668458410039074</v>
      </c>
      <c r="D15">
        <v>1.6174134997959979</v>
      </c>
      <c r="E15">
        <v>2.015947433453698</v>
      </c>
      <c r="F15">
        <v>1.775065134530053</v>
      </c>
      <c r="G15">
        <v>2.0682200756113609</v>
      </c>
      <c r="H15">
        <v>2.3355057840064259</v>
      </c>
      <c r="I15">
        <v>1.9959154152502281</v>
      </c>
      <c r="J15">
        <v>2.2659677677206069</v>
      </c>
      <c r="K15">
        <v>2.6072491274267868</v>
      </c>
      <c r="L15">
        <v>1.9044502383269111</v>
      </c>
      <c r="M15">
        <v>2.2852007245254429</v>
      </c>
      <c r="N15">
        <v>1.796756808732455</v>
      </c>
      <c r="O15">
        <v>0</v>
      </c>
      <c r="P15">
        <v>2.077589957205308</v>
      </c>
    </row>
    <row r="16" spans="1:16" x14ac:dyDescent="0.25">
      <c r="A16" s="1" t="s">
        <v>15</v>
      </c>
      <c r="B16">
        <v>1.9924709257389179</v>
      </c>
      <c r="C16">
        <v>2.0543943981079482</v>
      </c>
      <c r="D16">
        <v>1.996588803042687</v>
      </c>
      <c r="E16">
        <v>2.7616396092668398</v>
      </c>
      <c r="F16">
        <v>2.2406705015562629</v>
      </c>
      <c r="G16">
        <v>2.6687843642126352</v>
      </c>
      <c r="H16">
        <v>2.6341855213782268</v>
      </c>
      <c r="I16">
        <v>2.7143326113759918</v>
      </c>
      <c r="J16">
        <v>2.9677594375354861</v>
      </c>
      <c r="K16">
        <v>2.680706999208295</v>
      </c>
      <c r="L16">
        <v>1.7086903730986349</v>
      </c>
      <c r="M16">
        <v>2.930765043786423</v>
      </c>
      <c r="N16">
        <v>2.193421516162295</v>
      </c>
      <c r="O16">
        <v>2.077589957205308</v>
      </c>
      <c r="P16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</v>
      </c>
      <c r="B2">
        <v>0</v>
      </c>
      <c r="C2">
        <v>0.78519635695328283</v>
      </c>
      <c r="D2">
        <v>0.65569667022717792</v>
      </c>
      <c r="E2">
        <v>0.92913995190088317</v>
      </c>
      <c r="F2">
        <v>0.73297500650675751</v>
      </c>
      <c r="G2">
        <v>0.89208094979704067</v>
      </c>
      <c r="H2">
        <v>0.98194531080563718</v>
      </c>
      <c r="I2">
        <v>1</v>
      </c>
      <c r="J2">
        <v>0.93947190429786653</v>
      </c>
      <c r="K2">
        <v>0.96807161827884469</v>
      </c>
      <c r="L2">
        <v>0.57667406585575098</v>
      </c>
      <c r="M2">
        <v>0.96605367229263694</v>
      </c>
      <c r="N2">
        <v>0.80969518061101808</v>
      </c>
      <c r="O2">
        <v>0.76934884691243666</v>
      </c>
      <c r="P2">
        <v>0.64796423990371188</v>
      </c>
    </row>
    <row r="3" spans="1:16" x14ac:dyDescent="0.25">
      <c r="A3" s="1" t="s">
        <v>2</v>
      </c>
      <c r="B3">
        <v>0.78519635695328283</v>
      </c>
      <c r="C3">
        <v>0</v>
      </c>
      <c r="D3">
        <v>0.57197788009239525</v>
      </c>
      <c r="E3">
        <v>0.60927454976120576</v>
      </c>
      <c r="F3">
        <v>0.6460792409034275</v>
      </c>
      <c r="G3">
        <v>0.61300902200694751</v>
      </c>
      <c r="H3">
        <v>0.6915512335561429</v>
      </c>
      <c r="I3">
        <v>0.72687105437959509</v>
      </c>
      <c r="J3">
        <v>0.73621926014400596</v>
      </c>
      <c r="K3">
        <v>0.73831778774605072</v>
      </c>
      <c r="L3">
        <v>0.64401541250271954</v>
      </c>
      <c r="M3">
        <v>0.64361050307400514</v>
      </c>
      <c r="N3">
        <v>0.56333374074949016</v>
      </c>
      <c r="O3">
        <v>0.54259330538085127</v>
      </c>
      <c r="P3">
        <v>0.66810214765808307</v>
      </c>
    </row>
    <row r="4" spans="1:16" x14ac:dyDescent="0.25">
      <c r="A4" s="1" t="s">
        <v>3</v>
      </c>
      <c r="B4">
        <v>0.65569667022717792</v>
      </c>
      <c r="C4">
        <v>0.57197788009239525</v>
      </c>
      <c r="D4">
        <v>0</v>
      </c>
      <c r="E4">
        <v>0.70861349417280473</v>
      </c>
      <c r="F4">
        <v>0.70517605015809059</v>
      </c>
      <c r="G4">
        <v>0.65355422700571719</v>
      </c>
      <c r="H4">
        <v>0.66296501654737794</v>
      </c>
      <c r="I4">
        <v>0.71827433711688582</v>
      </c>
      <c r="J4">
        <v>0.75082550909569257</v>
      </c>
      <c r="K4">
        <v>0.79505867392566953</v>
      </c>
      <c r="L4">
        <v>0.56513010488604365</v>
      </c>
      <c r="M4">
        <v>0.70161474503879295</v>
      </c>
      <c r="N4">
        <v>0.63701387202453974</v>
      </c>
      <c r="O4">
        <v>0.52599317534164292</v>
      </c>
      <c r="P4">
        <v>0.64930339983959118</v>
      </c>
    </row>
    <row r="5" spans="1:16" x14ac:dyDescent="0.25">
      <c r="A5" s="1" t="s">
        <v>4</v>
      </c>
      <c r="B5">
        <v>0.92913995190088317</v>
      </c>
      <c r="C5">
        <v>0.60927454976120576</v>
      </c>
      <c r="D5">
        <v>0.70861349417280473</v>
      </c>
      <c r="E5">
        <v>0</v>
      </c>
      <c r="F5">
        <v>0.76175301887635882</v>
      </c>
      <c r="G5">
        <v>0.38431470330800782</v>
      </c>
      <c r="H5">
        <v>0.52341936818940138</v>
      </c>
      <c r="I5">
        <v>0.50187590298932028</v>
      </c>
      <c r="J5">
        <v>0.51236181582737805</v>
      </c>
      <c r="K5">
        <v>0.81888093422753905</v>
      </c>
      <c r="L5">
        <v>0.80060644462398722</v>
      </c>
      <c r="M5">
        <v>0.47806444704671802</v>
      </c>
      <c r="N5">
        <v>0.77182600572578186</v>
      </c>
      <c r="O5">
        <v>0.65559894979106415</v>
      </c>
      <c r="P5">
        <v>0.898102796477669</v>
      </c>
    </row>
    <row r="6" spans="1:16" x14ac:dyDescent="0.25">
      <c r="A6" s="1" t="s">
        <v>5</v>
      </c>
      <c r="B6">
        <v>0.73297500650675751</v>
      </c>
      <c r="C6">
        <v>0.6460792409034275</v>
      </c>
      <c r="D6">
        <v>0.70517605015809059</v>
      </c>
      <c r="E6">
        <v>0.76175301887635882</v>
      </c>
      <c r="F6">
        <v>0</v>
      </c>
      <c r="G6">
        <v>0.78925769637940546</v>
      </c>
      <c r="H6">
        <v>0.84098504444532918</v>
      </c>
      <c r="I6">
        <v>0.80970149801478042</v>
      </c>
      <c r="J6">
        <v>0.73439153402668</v>
      </c>
      <c r="K6">
        <v>0.79497521506187019</v>
      </c>
      <c r="L6">
        <v>0.53500803777765849</v>
      </c>
      <c r="M6">
        <v>0.80623522640637635</v>
      </c>
      <c r="N6">
        <v>0.71856742097460335</v>
      </c>
      <c r="O6">
        <v>0.57726249142069475</v>
      </c>
      <c r="P6">
        <v>0.7286803233412994</v>
      </c>
    </row>
    <row r="7" spans="1:16" x14ac:dyDescent="0.25">
      <c r="A7" s="1" t="s">
        <v>6</v>
      </c>
      <c r="B7">
        <v>0.89208094979704067</v>
      </c>
      <c r="C7">
        <v>0.61300902200694751</v>
      </c>
      <c r="D7">
        <v>0.65355422700571719</v>
      </c>
      <c r="E7">
        <v>0.38431470330800782</v>
      </c>
      <c r="F7">
        <v>0.78925769637940546</v>
      </c>
      <c r="G7">
        <v>0</v>
      </c>
      <c r="H7">
        <v>0.43059932985931287</v>
      </c>
      <c r="I7">
        <v>0.35049777434284279</v>
      </c>
      <c r="J7">
        <v>0.46743889179806941</v>
      </c>
      <c r="K7">
        <v>0.78107001770789675</v>
      </c>
      <c r="L7">
        <v>0.73645882608420765</v>
      </c>
      <c r="M7">
        <v>0.42536037848997021</v>
      </c>
      <c r="N7">
        <v>0.66581014494171897</v>
      </c>
      <c r="O7">
        <v>0.67259834607128233</v>
      </c>
      <c r="P7">
        <v>0.86790567916700723</v>
      </c>
    </row>
    <row r="8" spans="1:16" x14ac:dyDescent="0.25">
      <c r="A8" s="1" t="s">
        <v>7</v>
      </c>
      <c r="B8">
        <v>0.98194531080563718</v>
      </c>
      <c r="C8">
        <v>0.6915512335561429</v>
      </c>
      <c r="D8">
        <v>0.66296501654737794</v>
      </c>
      <c r="E8">
        <v>0.52341936818940138</v>
      </c>
      <c r="F8">
        <v>0.84098504444532918</v>
      </c>
      <c r="G8">
        <v>0.43059932985931287</v>
      </c>
      <c r="H8">
        <v>0</v>
      </c>
      <c r="I8">
        <v>0.53837533497390633</v>
      </c>
      <c r="J8">
        <v>0.5674048148005193</v>
      </c>
      <c r="K8">
        <v>0.77504034698685187</v>
      </c>
      <c r="L8">
        <v>0.77405718539104706</v>
      </c>
      <c r="M8">
        <v>0.46910365379702551</v>
      </c>
      <c r="N8">
        <v>0.74660071763423741</v>
      </c>
      <c r="O8">
        <v>0.75952136142876092</v>
      </c>
      <c r="P8">
        <v>0.85665391503377097</v>
      </c>
    </row>
    <row r="9" spans="1:16" x14ac:dyDescent="0.25">
      <c r="A9" s="1" t="s">
        <v>8</v>
      </c>
      <c r="B9">
        <v>1</v>
      </c>
      <c r="C9">
        <v>0.72687105437959509</v>
      </c>
      <c r="D9">
        <v>0.71827433711688593</v>
      </c>
      <c r="E9">
        <v>0.50187590298932028</v>
      </c>
      <c r="F9">
        <v>0.80970149801478042</v>
      </c>
      <c r="G9">
        <v>0.35049777434284279</v>
      </c>
      <c r="H9">
        <v>0.53837533497390633</v>
      </c>
      <c r="I9">
        <v>0</v>
      </c>
      <c r="J9">
        <v>0.51486888926263785</v>
      </c>
      <c r="K9">
        <v>0.8460869878876911</v>
      </c>
      <c r="L9">
        <v>0.8044215033911355</v>
      </c>
      <c r="M9">
        <v>0.56787838199042495</v>
      </c>
      <c r="N9">
        <v>0.58977957512793722</v>
      </c>
      <c r="O9">
        <v>0.64908440983905225</v>
      </c>
      <c r="P9">
        <v>0.8827182593511852</v>
      </c>
    </row>
    <row r="10" spans="1:16" x14ac:dyDescent="0.25">
      <c r="A10" s="1" t="s">
        <v>9</v>
      </c>
      <c r="B10">
        <v>0.93947190429786653</v>
      </c>
      <c r="C10">
        <v>0.73621926014400596</v>
      </c>
      <c r="D10">
        <v>0.75082550909569257</v>
      </c>
      <c r="E10">
        <v>0.51236181582737805</v>
      </c>
      <c r="F10">
        <v>0.73439153402668</v>
      </c>
      <c r="G10">
        <v>0.46743889179806941</v>
      </c>
      <c r="H10">
        <v>0.5674048148005193</v>
      </c>
      <c r="I10">
        <v>0.51486888926263785</v>
      </c>
      <c r="J10">
        <v>0</v>
      </c>
      <c r="K10">
        <v>0.72138997142206185</v>
      </c>
      <c r="L10">
        <v>0.7287164480708459</v>
      </c>
      <c r="M10">
        <v>0.56627485304130609</v>
      </c>
      <c r="N10">
        <v>0.77398566636461585</v>
      </c>
      <c r="O10">
        <v>0.73690715547725261</v>
      </c>
      <c r="P10">
        <v>0.96513427790500561</v>
      </c>
    </row>
    <row r="11" spans="1:16" x14ac:dyDescent="0.25">
      <c r="A11" s="1" t="s">
        <v>10</v>
      </c>
      <c r="B11">
        <v>0.96807161827884469</v>
      </c>
      <c r="C11">
        <v>0.73831778774605061</v>
      </c>
      <c r="D11">
        <v>0.79505867392566953</v>
      </c>
      <c r="E11">
        <v>0.81888093422753905</v>
      </c>
      <c r="F11">
        <v>0.79497521506187019</v>
      </c>
      <c r="G11">
        <v>0.78107001770789675</v>
      </c>
      <c r="H11">
        <v>0.77504034698685187</v>
      </c>
      <c r="I11">
        <v>0.8460869878876911</v>
      </c>
      <c r="J11">
        <v>0.72138997142206185</v>
      </c>
      <c r="K11">
        <v>0</v>
      </c>
      <c r="L11">
        <v>0.72774216046527429</v>
      </c>
      <c r="M11">
        <v>0.896815447321894</v>
      </c>
      <c r="N11">
        <v>0.87607073885480791</v>
      </c>
      <c r="O11">
        <v>0.84789402809789571</v>
      </c>
      <c r="P11">
        <v>0.87178299603161702</v>
      </c>
    </row>
    <row r="12" spans="1:16" x14ac:dyDescent="0.25">
      <c r="A12" s="1" t="s">
        <v>11</v>
      </c>
      <c r="B12">
        <v>0.57667406585575098</v>
      </c>
      <c r="C12">
        <v>0.64401541250271954</v>
      </c>
      <c r="D12">
        <v>0.56513010488604365</v>
      </c>
      <c r="E12">
        <v>0.80060644462398722</v>
      </c>
      <c r="F12">
        <v>0.53500803777765849</v>
      </c>
      <c r="G12">
        <v>0.73645882608420765</v>
      </c>
      <c r="H12">
        <v>0.77405718539104706</v>
      </c>
      <c r="I12">
        <v>0.8044215033911355</v>
      </c>
      <c r="J12">
        <v>0.7287164480708459</v>
      </c>
      <c r="K12">
        <v>0.72774216046527429</v>
      </c>
      <c r="L12">
        <v>0</v>
      </c>
      <c r="M12">
        <v>0.82272685047990057</v>
      </c>
      <c r="N12">
        <v>0.66861356134656569</v>
      </c>
      <c r="O12">
        <v>0.61933935154125208</v>
      </c>
      <c r="P12">
        <v>0.55567699610223797</v>
      </c>
    </row>
    <row r="13" spans="1:16" x14ac:dyDescent="0.25">
      <c r="A13" s="1" t="s">
        <v>12</v>
      </c>
      <c r="B13">
        <v>0.96605367229263706</v>
      </c>
      <c r="C13">
        <v>0.64361050307400514</v>
      </c>
      <c r="D13">
        <v>0.70161474503879295</v>
      </c>
      <c r="E13">
        <v>0.47806444704671802</v>
      </c>
      <c r="F13">
        <v>0.80623522640637635</v>
      </c>
      <c r="G13">
        <v>0.42536037848997021</v>
      </c>
      <c r="H13">
        <v>0.46910365379702551</v>
      </c>
      <c r="I13">
        <v>0.56787838199042495</v>
      </c>
      <c r="J13">
        <v>0.56627485304130609</v>
      </c>
      <c r="K13">
        <v>0.896815447321894</v>
      </c>
      <c r="L13">
        <v>0.82272685047990057</v>
      </c>
      <c r="M13">
        <v>0</v>
      </c>
      <c r="N13">
        <v>0.74619738298619109</v>
      </c>
      <c r="O13">
        <v>0.74316183557127924</v>
      </c>
      <c r="P13">
        <v>0.95310346535128132</v>
      </c>
    </row>
    <row r="14" spans="1:16" x14ac:dyDescent="0.25">
      <c r="A14" s="1" t="s">
        <v>13</v>
      </c>
      <c r="B14">
        <v>0.80969518061101808</v>
      </c>
      <c r="C14">
        <v>0.56333374074949016</v>
      </c>
      <c r="D14">
        <v>0.63701387202453974</v>
      </c>
      <c r="E14">
        <v>0.77182600572578186</v>
      </c>
      <c r="F14">
        <v>0.71856742097460335</v>
      </c>
      <c r="G14">
        <v>0.66581014494171897</v>
      </c>
      <c r="H14">
        <v>0.74660071763423741</v>
      </c>
      <c r="I14">
        <v>0.58977957512793722</v>
      </c>
      <c r="J14">
        <v>0.77398566636461585</v>
      </c>
      <c r="K14">
        <v>0.87607073885480791</v>
      </c>
      <c r="L14">
        <v>0.66861356134656569</v>
      </c>
      <c r="M14">
        <v>0.74619738298619109</v>
      </c>
      <c r="N14">
        <v>0</v>
      </c>
      <c r="O14">
        <v>0.58431676207791183</v>
      </c>
      <c r="P14">
        <v>0.71331465224842272</v>
      </c>
    </row>
    <row r="15" spans="1:16" x14ac:dyDescent="0.25">
      <c r="A15" s="1" t="s">
        <v>14</v>
      </c>
      <c r="B15">
        <v>0.76934884691243666</v>
      </c>
      <c r="C15">
        <v>0.54259330538085127</v>
      </c>
      <c r="D15">
        <v>0.52599317534164292</v>
      </c>
      <c r="E15">
        <v>0.65559894979106415</v>
      </c>
      <c r="F15">
        <v>0.57726249142069475</v>
      </c>
      <c r="G15">
        <v>0.67259834607128233</v>
      </c>
      <c r="H15">
        <v>0.75952136142876092</v>
      </c>
      <c r="I15">
        <v>0.64908440983905225</v>
      </c>
      <c r="J15">
        <v>0.73690715547725261</v>
      </c>
      <c r="K15">
        <v>0.84789402809789571</v>
      </c>
      <c r="L15">
        <v>0.61933935154125208</v>
      </c>
      <c r="M15">
        <v>0.74316183557127924</v>
      </c>
      <c r="N15">
        <v>0.58431676207791183</v>
      </c>
      <c r="O15">
        <v>0</v>
      </c>
      <c r="P15">
        <v>0.67564549126501128</v>
      </c>
    </row>
    <row r="16" spans="1:16" x14ac:dyDescent="0.25">
      <c r="A16" s="1" t="s">
        <v>15</v>
      </c>
      <c r="B16">
        <v>0.64796423990371188</v>
      </c>
      <c r="C16">
        <v>0.66810214765808307</v>
      </c>
      <c r="D16">
        <v>0.64930339983959118</v>
      </c>
      <c r="E16">
        <v>0.898102796477669</v>
      </c>
      <c r="F16">
        <v>0.7286803233412994</v>
      </c>
      <c r="G16">
        <v>0.86790567916700723</v>
      </c>
      <c r="H16">
        <v>0.85665391503377097</v>
      </c>
      <c r="I16">
        <v>0.8827182593511852</v>
      </c>
      <c r="J16">
        <v>0.96513427790500561</v>
      </c>
      <c r="K16">
        <v>0.87178299603161702</v>
      </c>
      <c r="L16">
        <v>0.55567699610223797</v>
      </c>
      <c r="M16">
        <v>0.95310346535128132</v>
      </c>
      <c r="N16">
        <v>0.71331465224842272</v>
      </c>
      <c r="O16">
        <v>0.67564549126501128</v>
      </c>
      <c r="P16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6"/>
  <sheetViews>
    <sheetView tabSelected="1" workbookViewId="0">
      <pane ySplit="1" topLeftCell="A2" activePane="bottomLeft" state="frozen"/>
      <selection pane="bottomLeft" activeCell="O19" sqref="O19"/>
    </sheetView>
  </sheetViews>
  <sheetFormatPr defaultRowHeight="15" x14ac:dyDescent="0.25"/>
  <cols>
    <col min="11" max="13" width="21" customWidth="1"/>
  </cols>
  <sheetData>
    <row r="1" spans="1:13" ht="3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9" t="s">
        <v>26</v>
      </c>
      <c r="L1" s="10" t="s">
        <v>27</v>
      </c>
      <c r="M1" s="11" t="s">
        <v>98</v>
      </c>
    </row>
    <row r="2" spans="1:13" x14ac:dyDescent="0.25">
      <c r="A2">
        <v>1</v>
      </c>
      <c r="B2">
        <v>111</v>
      </c>
      <c r="C2" t="s">
        <v>28</v>
      </c>
      <c r="D2">
        <v>2</v>
      </c>
      <c r="E2">
        <v>144</v>
      </c>
      <c r="F2" t="s">
        <v>29</v>
      </c>
      <c r="G2">
        <v>2</v>
      </c>
      <c r="H2" t="b">
        <v>1</v>
      </c>
      <c r="I2">
        <v>1.0777703180318881</v>
      </c>
      <c r="J2">
        <v>0.35049777434284279</v>
      </c>
      <c r="K2" s="12">
        <f>VLOOKUP(C2,Debye_Reference!$A$2:$B$16,2,FALSE)</f>
        <v>433.8</v>
      </c>
      <c r="L2" s="8">
        <f>VLOOKUP(F2,Debye_Reference!$A$2:$B$16,2,FALSE)</f>
        <v>366.1</v>
      </c>
      <c r="M2" s="13">
        <f t="shared" ref="M2:M33" si="0">ABS(K2-L2)</f>
        <v>67.699999999999989</v>
      </c>
    </row>
    <row r="3" spans="1:13" x14ac:dyDescent="0.25">
      <c r="A3">
        <v>2</v>
      </c>
      <c r="B3">
        <v>17</v>
      </c>
      <c r="C3" t="s">
        <v>30</v>
      </c>
      <c r="D3">
        <v>3</v>
      </c>
      <c r="E3">
        <v>111</v>
      </c>
      <c r="F3" t="s">
        <v>28</v>
      </c>
      <c r="G3">
        <v>2</v>
      </c>
      <c r="H3" t="b">
        <v>0</v>
      </c>
      <c r="I3">
        <v>1.181756377155895</v>
      </c>
      <c r="J3">
        <v>0.38431470330800782</v>
      </c>
      <c r="K3" s="12">
        <f>VLOOKUP(C3,Debye_Reference!$A$2:$B$16,2,FALSE)</f>
        <v>507.2</v>
      </c>
      <c r="L3" s="8">
        <f>VLOOKUP(F3,Debye_Reference!$A$2:$B$16,2,FALSE)</f>
        <v>433.8</v>
      </c>
      <c r="M3" s="13">
        <f t="shared" si="0"/>
        <v>73.399999999999977</v>
      </c>
    </row>
    <row r="4" spans="1:13" x14ac:dyDescent="0.25">
      <c r="A4">
        <v>3</v>
      </c>
      <c r="B4">
        <v>111</v>
      </c>
      <c r="C4" t="s">
        <v>28</v>
      </c>
      <c r="D4">
        <v>2</v>
      </c>
      <c r="E4">
        <v>180</v>
      </c>
      <c r="F4" t="s">
        <v>31</v>
      </c>
      <c r="G4">
        <v>3</v>
      </c>
      <c r="H4" t="b">
        <v>0</v>
      </c>
      <c r="I4">
        <v>1.307970617681786</v>
      </c>
      <c r="J4">
        <v>0.42536037848997021</v>
      </c>
      <c r="K4" s="12">
        <f>VLOOKUP(C4,Debye_Reference!$A$2:$B$16,2,FALSE)</f>
        <v>433.8</v>
      </c>
      <c r="L4" s="8">
        <f>VLOOKUP(F4,Debye_Reference!$A$2:$B$16,2,FALSE)</f>
        <v>425</v>
      </c>
      <c r="M4" s="13">
        <f t="shared" si="0"/>
        <v>8.8000000000000114</v>
      </c>
    </row>
    <row r="5" spans="1:13" x14ac:dyDescent="0.25">
      <c r="A5">
        <v>4</v>
      </c>
      <c r="B5">
        <v>111</v>
      </c>
      <c r="C5" t="s">
        <v>28</v>
      </c>
      <c r="D5">
        <v>2</v>
      </c>
      <c r="E5">
        <v>142</v>
      </c>
      <c r="F5" t="s">
        <v>32</v>
      </c>
      <c r="G5">
        <v>3</v>
      </c>
      <c r="H5" t="b">
        <v>0</v>
      </c>
      <c r="I5">
        <v>1.324080238617545</v>
      </c>
      <c r="J5">
        <v>0.43059932985931287</v>
      </c>
      <c r="K5" s="12">
        <f>VLOOKUP(C5,Debye_Reference!$A$2:$B$16,2,FALSE)</f>
        <v>433.8</v>
      </c>
      <c r="L5" s="8">
        <f>VLOOKUP(F5,Debye_Reference!$A$2:$B$16,2,FALSE)</f>
        <v>396.1</v>
      </c>
      <c r="M5" s="13">
        <f t="shared" si="0"/>
        <v>37.699999999999989</v>
      </c>
    </row>
    <row r="6" spans="1:13" x14ac:dyDescent="0.25">
      <c r="A6">
        <v>5</v>
      </c>
      <c r="B6">
        <v>111</v>
      </c>
      <c r="C6" t="s">
        <v>28</v>
      </c>
      <c r="D6">
        <v>2</v>
      </c>
      <c r="E6">
        <v>153</v>
      </c>
      <c r="F6" t="s">
        <v>33</v>
      </c>
      <c r="G6">
        <v>2</v>
      </c>
      <c r="H6" t="b">
        <v>1</v>
      </c>
      <c r="I6">
        <v>1.437360804981574</v>
      </c>
      <c r="J6">
        <v>0.46743889179806941</v>
      </c>
      <c r="K6" s="12">
        <f>VLOOKUP(C6,Debye_Reference!$A$2:$B$16,2,FALSE)</f>
        <v>433.8</v>
      </c>
      <c r="L6" s="8">
        <f>VLOOKUP(F6,Debye_Reference!$A$2:$B$16,2,FALSE)</f>
        <v>442.4</v>
      </c>
      <c r="M6" s="13">
        <f t="shared" si="0"/>
        <v>8.5999999999999659</v>
      </c>
    </row>
    <row r="7" spans="1:13" x14ac:dyDescent="0.25">
      <c r="A7">
        <v>6</v>
      </c>
      <c r="B7">
        <v>142</v>
      </c>
      <c r="C7" t="s">
        <v>32</v>
      </c>
      <c r="D7">
        <v>3</v>
      </c>
      <c r="E7">
        <v>180</v>
      </c>
      <c r="F7" t="s">
        <v>31</v>
      </c>
      <c r="G7">
        <v>3</v>
      </c>
      <c r="H7" t="b">
        <v>1</v>
      </c>
      <c r="I7">
        <v>1.4424798990255421</v>
      </c>
      <c r="J7">
        <v>0.46910365379702551</v>
      </c>
      <c r="K7" s="12">
        <f>VLOOKUP(C7,Debye_Reference!$A$2:$B$16,2,FALSE)</f>
        <v>396.1</v>
      </c>
      <c r="L7" s="8">
        <f>VLOOKUP(F7,Debye_Reference!$A$2:$B$16,2,FALSE)</f>
        <v>425</v>
      </c>
      <c r="M7" s="13">
        <f t="shared" si="0"/>
        <v>28.899999999999977</v>
      </c>
    </row>
    <row r="8" spans="1:13" x14ac:dyDescent="0.25">
      <c r="A8">
        <v>7</v>
      </c>
      <c r="B8">
        <v>17</v>
      </c>
      <c r="C8" t="s">
        <v>30</v>
      </c>
      <c r="D8">
        <v>3</v>
      </c>
      <c r="E8">
        <v>180</v>
      </c>
      <c r="F8" t="s">
        <v>31</v>
      </c>
      <c r="G8">
        <v>3</v>
      </c>
      <c r="H8" t="b">
        <v>1</v>
      </c>
      <c r="I8">
        <v>1.470034073966157</v>
      </c>
      <c r="J8">
        <v>0.47806444704671802</v>
      </c>
      <c r="K8" s="12">
        <f>VLOOKUP(C8,Debye_Reference!$A$2:$B$16,2,FALSE)</f>
        <v>507.2</v>
      </c>
      <c r="L8" s="8">
        <f>VLOOKUP(F8,Debye_Reference!$A$2:$B$16,2,FALSE)</f>
        <v>425</v>
      </c>
      <c r="M8" s="13">
        <f t="shared" si="0"/>
        <v>82.199999999999989</v>
      </c>
    </row>
    <row r="9" spans="1:13" x14ac:dyDescent="0.25">
      <c r="A9">
        <v>8</v>
      </c>
      <c r="B9">
        <v>17</v>
      </c>
      <c r="C9" t="s">
        <v>30</v>
      </c>
      <c r="D9">
        <v>3</v>
      </c>
      <c r="E9">
        <v>144</v>
      </c>
      <c r="F9" t="s">
        <v>29</v>
      </c>
      <c r="G9">
        <v>2</v>
      </c>
      <c r="H9" t="b">
        <v>0</v>
      </c>
      <c r="I9">
        <v>1.543253598661221</v>
      </c>
      <c r="J9">
        <v>0.50187590298932028</v>
      </c>
      <c r="K9" s="12">
        <f>VLOOKUP(C9,Debye_Reference!$A$2:$B$16,2,FALSE)</f>
        <v>507.2</v>
      </c>
      <c r="L9" s="8">
        <f>VLOOKUP(F9,Debye_Reference!$A$2:$B$16,2,FALSE)</f>
        <v>366.1</v>
      </c>
      <c r="M9" s="13">
        <f t="shared" si="0"/>
        <v>141.09999999999997</v>
      </c>
    </row>
    <row r="10" spans="1:13" x14ac:dyDescent="0.25">
      <c r="A10">
        <v>9</v>
      </c>
      <c r="B10">
        <v>17</v>
      </c>
      <c r="C10" t="s">
        <v>30</v>
      </c>
      <c r="D10">
        <v>3</v>
      </c>
      <c r="E10">
        <v>153</v>
      </c>
      <c r="F10" t="s">
        <v>33</v>
      </c>
      <c r="G10">
        <v>2</v>
      </c>
      <c r="H10" t="b">
        <v>0</v>
      </c>
      <c r="I10">
        <v>1.575497471352046</v>
      </c>
      <c r="J10">
        <v>0.51236181582737805</v>
      </c>
      <c r="K10" s="12">
        <f>VLOOKUP(C10,Debye_Reference!$A$2:$B$16,2,FALSE)</f>
        <v>507.2</v>
      </c>
      <c r="L10" s="8">
        <f>VLOOKUP(F10,Debye_Reference!$A$2:$B$16,2,FALSE)</f>
        <v>442.4</v>
      </c>
      <c r="M10" s="13">
        <f t="shared" si="0"/>
        <v>64.800000000000011</v>
      </c>
    </row>
    <row r="11" spans="1:13" x14ac:dyDescent="0.25">
      <c r="A11">
        <v>10</v>
      </c>
      <c r="B11">
        <v>144</v>
      </c>
      <c r="C11" t="s">
        <v>29</v>
      </c>
      <c r="D11">
        <v>2</v>
      </c>
      <c r="E11">
        <v>153</v>
      </c>
      <c r="F11" t="s">
        <v>33</v>
      </c>
      <c r="G11">
        <v>2</v>
      </c>
      <c r="H11" t="b">
        <v>1</v>
      </c>
      <c r="I11">
        <v>1.583206648218334</v>
      </c>
      <c r="J11">
        <v>0.51486888926263785</v>
      </c>
      <c r="K11" s="12">
        <f>VLOOKUP(C11,Debye_Reference!$A$2:$B$16,2,FALSE)</f>
        <v>366.1</v>
      </c>
      <c r="L11" s="8">
        <f>VLOOKUP(F11,Debye_Reference!$A$2:$B$16,2,FALSE)</f>
        <v>442.4</v>
      </c>
      <c r="M11" s="13">
        <f t="shared" si="0"/>
        <v>76.299999999999955</v>
      </c>
    </row>
    <row r="12" spans="1:13" x14ac:dyDescent="0.25">
      <c r="A12">
        <v>11</v>
      </c>
      <c r="B12">
        <v>17</v>
      </c>
      <c r="C12" t="s">
        <v>30</v>
      </c>
      <c r="D12">
        <v>3</v>
      </c>
      <c r="E12">
        <v>142</v>
      </c>
      <c r="F12" t="s">
        <v>32</v>
      </c>
      <c r="G12">
        <v>3</v>
      </c>
      <c r="H12" t="b">
        <v>1</v>
      </c>
      <c r="I12">
        <v>1.609499118718329</v>
      </c>
      <c r="J12">
        <v>0.52341936818940138</v>
      </c>
      <c r="K12" s="12">
        <f>VLOOKUP(C12,Debye_Reference!$A$2:$B$16,2,FALSE)</f>
        <v>507.2</v>
      </c>
      <c r="L12" s="8">
        <f>VLOOKUP(F12,Debye_Reference!$A$2:$B$16,2,FALSE)</f>
        <v>396.1</v>
      </c>
      <c r="M12" s="13">
        <f t="shared" si="0"/>
        <v>111.09999999999997</v>
      </c>
    </row>
    <row r="13" spans="1:13" x14ac:dyDescent="0.25">
      <c r="A13">
        <v>12</v>
      </c>
      <c r="B13">
        <v>16</v>
      </c>
      <c r="C13" t="s">
        <v>34</v>
      </c>
      <c r="D13">
        <v>4</v>
      </c>
      <c r="E13">
        <v>261</v>
      </c>
      <c r="F13" t="s">
        <v>35</v>
      </c>
      <c r="G13">
        <v>4</v>
      </c>
      <c r="H13" t="b">
        <v>1</v>
      </c>
      <c r="I13">
        <v>1.6174134997959979</v>
      </c>
      <c r="J13">
        <v>0.52599317534164292</v>
      </c>
      <c r="K13" s="12">
        <f>VLOOKUP(C13,Debye_Reference!$A$2:$B$16,2,FALSE)</f>
        <v>492.9</v>
      </c>
      <c r="L13" s="8">
        <f>VLOOKUP(F13,Debye_Reference!$A$2:$B$16,2,FALSE)</f>
        <v>497.2</v>
      </c>
      <c r="M13" s="13">
        <f t="shared" si="0"/>
        <v>4.3000000000000114</v>
      </c>
    </row>
    <row r="14" spans="1:13" x14ac:dyDescent="0.25">
      <c r="A14">
        <v>13</v>
      </c>
      <c r="B14">
        <v>95</v>
      </c>
      <c r="C14" t="s">
        <v>36</v>
      </c>
      <c r="D14">
        <v>4</v>
      </c>
      <c r="E14">
        <v>171</v>
      </c>
      <c r="F14" t="s">
        <v>37</v>
      </c>
      <c r="G14">
        <v>4</v>
      </c>
      <c r="H14" t="b">
        <v>1</v>
      </c>
      <c r="I14">
        <v>1.645133935889765</v>
      </c>
      <c r="J14">
        <v>0.53500803777765849</v>
      </c>
      <c r="K14" s="12">
        <f>VLOOKUP(C14,Debye_Reference!$A$2:$B$16,2,FALSE)</f>
        <v>632.70000000000005</v>
      </c>
      <c r="L14" s="8">
        <f>VLOOKUP(F14,Debye_Reference!$A$2:$B$16,2,FALSE)</f>
        <v>448</v>
      </c>
      <c r="M14" s="13">
        <f t="shared" si="0"/>
        <v>184.70000000000005</v>
      </c>
    </row>
    <row r="15" spans="1:13" x14ac:dyDescent="0.25">
      <c r="A15">
        <v>14</v>
      </c>
      <c r="B15">
        <v>142</v>
      </c>
      <c r="C15" t="s">
        <v>32</v>
      </c>
      <c r="D15">
        <v>3</v>
      </c>
      <c r="E15">
        <v>144</v>
      </c>
      <c r="F15" t="s">
        <v>29</v>
      </c>
      <c r="G15">
        <v>2</v>
      </c>
      <c r="H15" t="b">
        <v>0</v>
      </c>
      <c r="I15">
        <v>1.6554882754484459</v>
      </c>
      <c r="J15">
        <v>0.53837533497390633</v>
      </c>
      <c r="K15" s="12">
        <f>VLOOKUP(C15,Debye_Reference!$A$2:$B$16,2,FALSE)</f>
        <v>396.1</v>
      </c>
      <c r="L15" s="8">
        <f>VLOOKUP(F15,Debye_Reference!$A$2:$B$16,2,FALSE)</f>
        <v>366.1</v>
      </c>
      <c r="M15" s="13">
        <f t="shared" si="0"/>
        <v>30</v>
      </c>
    </row>
    <row r="16" spans="1:13" x14ac:dyDescent="0.25">
      <c r="A16">
        <v>15</v>
      </c>
      <c r="B16">
        <v>15</v>
      </c>
      <c r="C16" t="s">
        <v>38</v>
      </c>
      <c r="D16">
        <v>4</v>
      </c>
      <c r="E16">
        <v>261</v>
      </c>
      <c r="F16" t="s">
        <v>35</v>
      </c>
      <c r="G16">
        <v>4</v>
      </c>
      <c r="H16" t="b">
        <v>1</v>
      </c>
      <c r="I16">
        <v>1.668458410039074</v>
      </c>
      <c r="J16">
        <v>0.54259330538085127</v>
      </c>
      <c r="K16" s="12">
        <f>VLOOKUP(C16,Debye_Reference!$A$2:$B$16,2,FALSE)</f>
        <v>405.1</v>
      </c>
      <c r="L16" s="8">
        <f>VLOOKUP(F16,Debye_Reference!$A$2:$B$16,2,FALSE)</f>
        <v>497.2</v>
      </c>
      <c r="M16" s="13">
        <f t="shared" si="0"/>
        <v>92.099999999999966</v>
      </c>
    </row>
    <row r="17" spans="1:13" x14ac:dyDescent="0.25">
      <c r="A17">
        <v>16</v>
      </c>
      <c r="B17">
        <v>171</v>
      </c>
      <c r="C17" t="s">
        <v>37</v>
      </c>
      <c r="D17">
        <v>4</v>
      </c>
      <c r="E17">
        <v>283</v>
      </c>
      <c r="F17" t="s">
        <v>39</v>
      </c>
      <c r="G17">
        <v>4</v>
      </c>
      <c r="H17" t="b">
        <v>1</v>
      </c>
      <c r="I17">
        <v>1.7086903730986349</v>
      </c>
      <c r="J17">
        <v>0.55567699610223797</v>
      </c>
      <c r="K17" s="12">
        <f>VLOOKUP(C17,Debye_Reference!$A$2:$B$16,2,FALSE)</f>
        <v>448</v>
      </c>
      <c r="L17" s="8">
        <f>VLOOKUP(F17,Debye_Reference!$A$2:$B$16,2,FALSE)</f>
        <v>555.79999999999995</v>
      </c>
      <c r="M17" s="13">
        <f t="shared" si="0"/>
        <v>107.79999999999995</v>
      </c>
    </row>
    <row r="18" spans="1:13" x14ac:dyDescent="0.25">
      <c r="A18">
        <v>17</v>
      </c>
      <c r="B18">
        <v>15</v>
      </c>
      <c r="C18" t="s">
        <v>38</v>
      </c>
      <c r="D18">
        <v>4</v>
      </c>
      <c r="E18">
        <v>199</v>
      </c>
      <c r="F18" t="s">
        <v>40</v>
      </c>
      <c r="G18">
        <v>1</v>
      </c>
      <c r="H18" t="b">
        <v>0</v>
      </c>
      <c r="I18">
        <v>1.7322346370501831</v>
      </c>
      <c r="J18">
        <v>0.56333374074949016</v>
      </c>
      <c r="K18" s="12">
        <f>VLOOKUP(C18,Debye_Reference!$A$2:$B$16,2,FALSE)</f>
        <v>405.1</v>
      </c>
      <c r="L18" s="8">
        <f>VLOOKUP(F18,Debye_Reference!$A$2:$B$16,2,FALSE)</f>
        <v>223.3</v>
      </c>
      <c r="M18" s="13">
        <f t="shared" si="0"/>
        <v>181.8</v>
      </c>
    </row>
    <row r="19" spans="1:13" x14ac:dyDescent="0.25">
      <c r="A19">
        <v>18</v>
      </c>
      <c r="B19">
        <v>16</v>
      </c>
      <c r="C19" t="s">
        <v>34</v>
      </c>
      <c r="D19">
        <v>4</v>
      </c>
      <c r="E19">
        <v>171</v>
      </c>
      <c r="F19" t="s">
        <v>37</v>
      </c>
      <c r="G19">
        <v>4</v>
      </c>
      <c r="H19" t="b">
        <v>1</v>
      </c>
      <c r="I19">
        <v>1.7377584037856051</v>
      </c>
      <c r="J19">
        <v>0.56513010488604365</v>
      </c>
      <c r="K19" s="12">
        <f>VLOOKUP(C19,Debye_Reference!$A$2:$B$16,2,FALSE)</f>
        <v>492.9</v>
      </c>
      <c r="L19" s="8">
        <f>VLOOKUP(F19,Debye_Reference!$A$2:$B$16,2,FALSE)</f>
        <v>448</v>
      </c>
      <c r="M19" s="13">
        <f t="shared" si="0"/>
        <v>44.899999999999977</v>
      </c>
    </row>
    <row r="20" spans="1:13" x14ac:dyDescent="0.25">
      <c r="A20">
        <v>19</v>
      </c>
      <c r="B20">
        <v>153</v>
      </c>
      <c r="C20" t="s">
        <v>33</v>
      </c>
      <c r="D20">
        <v>2</v>
      </c>
      <c r="E20">
        <v>180</v>
      </c>
      <c r="F20" t="s">
        <v>31</v>
      </c>
      <c r="G20">
        <v>3</v>
      </c>
      <c r="H20" t="b">
        <v>0</v>
      </c>
      <c r="I20">
        <v>1.7412784705982309</v>
      </c>
      <c r="J20">
        <v>0.56627485304130609</v>
      </c>
      <c r="K20" s="12">
        <f>VLOOKUP(C20,Debye_Reference!$A$2:$B$16,2,FALSE)</f>
        <v>442.4</v>
      </c>
      <c r="L20" s="8">
        <f>VLOOKUP(F20,Debye_Reference!$A$2:$B$16,2,FALSE)</f>
        <v>425</v>
      </c>
      <c r="M20" s="13">
        <f t="shared" si="0"/>
        <v>17.399999999999977</v>
      </c>
    </row>
    <row r="21" spans="1:13" x14ac:dyDescent="0.25">
      <c r="A21">
        <v>20</v>
      </c>
      <c r="B21">
        <v>142</v>
      </c>
      <c r="C21" t="s">
        <v>32</v>
      </c>
      <c r="D21">
        <v>3</v>
      </c>
      <c r="E21">
        <v>153</v>
      </c>
      <c r="F21" t="s">
        <v>33</v>
      </c>
      <c r="G21">
        <v>2</v>
      </c>
      <c r="H21" t="b">
        <v>0</v>
      </c>
      <c r="I21">
        <v>1.7447530696791369</v>
      </c>
      <c r="J21">
        <v>0.5674048148005193</v>
      </c>
      <c r="K21" s="12">
        <f>VLOOKUP(C21,Debye_Reference!$A$2:$B$16,2,FALSE)</f>
        <v>396.1</v>
      </c>
      <c r="L21" s="8">
        <f>VLOOKUP(F21,Debye_Reference!$A$2:$B$16,2,FALSE)</f>
        <v>442.4</v>
      </c>
      <c r="M21" s="13">
        <f t="shared" si="0"/>
        <v>46.299999999999955</v>
      </c>
    </row>
    <row r="22" spans="1:13" x14ac:dyDescent="0.25">
      <c r="A22">
        <v>21</v>
      </c>
      <c r="B22">
        <v>144</v>
      </c>
      <c r="C22" t="s">
        <v>29</v>
      </c>
      <c r="D22">
        <v>2</v>
      </c>
      <c r="E22">
        <v>180</v>
      </c>
      <c r="F22" t="s">
        <v>31</v>
      </c>
      <c r="G22">
        <v>3</v>
      </c>
      <c r="H22" t="b">
        <v>0</v>
      </c>
      <c r="I22">
        <v>1.7462092748200431</v>
      </c>
      <c r="J22">
        <v>0.56787838199042495</v>
      </c>
      <c r="K22" s="12">
        <f>VLOOKUP(C22,Debye_Reference!$A$2:$B$16,2,FALSE)</f>
        <v>366.1</v>
      </c>
      <c r="L22" s="8">
        <f>VLOOKUP(F22,Debye_Reference!$A$2:$B$16,2,FALSE)</f>
        <v>425</v>
      </c>
      <c r="M22" s="13">
        <f t="shared" si="0"/>
        <v>58.899999999999977</v>
      </c>
    </row>
    <row r="23" spans="1:13" x14ac:dyDescent="0.25">
      <c r="A23">
        <v>22</v>
      </c>
      <c r="B23">
        <v>15</v>
      </c>
      <c r="C23" t="s">
        <v>38</v>
      </c>
      <c r="D23">
        <v>4</v>
      </c>
      <c r="E23">
        <v>16</v>
      </c>
      <c r="F23" t="s">
        <v>34</v>
      </c>
      <c r="G23">
        <v>4</v>
      </c>
      <c r="H23" t="b">
        <v>1</v>
      </c>
      <c r="I23">
        <v>1.758815110567262</v>
      </c>
      <c r="J23">
        <v>0.57197788009239525</v>
      </c>
      <c r="K23" s="12">
        <f>VLOOKUP(C23,Debye_Reference!$A$2:$B$16,2,FALSE)</f>
        <v>405.1</v>
      </c>
      <c r="L23" s="8">
        <f>VLOOKUP(F23,Debye_Reference!$A$2:$B$16,2,FALSE)</f>
        <v>492.9</v>
      </c>
      <c r="M23" s="13">
        <f t="shared" si="0"/>
        <v>87.799999999999955</v>
      </c>
    </row>
    <row r="24" spans="1:13" x14ac:dyDescent="0.25">
      <c r="A24">
        <v>23</v>
      </c>
      <c r="B24">
        <v>14</v>
      </c>
      <c r="C24" t="s">
        <v>41</v>
      </c>
      <c r="D24">
        <v>4</v>
      </c>
      <c r="E24">
        <v>171</v>
      </c>
      <c r="F24" t="s">
        <v>37</v>
      </c>
      <c r="G24">
        <v>4</v>
      </c>
      <c r="H24" t="b">
        <v>1</v>
      </c>
      <c r="I24">
        <v>1.7732557432736991</v>
      </c>
      <c r="J24">
        <v>0.57667406585575098</v>
      </c>
      <c r="K24" s="12">
        <f>VLOOKUP(C24,Debye_Reference!$A$2:$B$16,2,FALSE)</f>
        <v>637.4</v>
      </c>
      <c r="L24" s="8">
        <f>VLOOKUP(F24,Debye_Reference!$A$2:$B$16,2,FALSE)</f>
        <v>448</v>
      </c>
      <c r="M24" s="13">
        <f t="shared" si="0"/>
        <v>189.39999999999998</v>
      </c>
    </row>
    <row r="25" spans="1:13" x14ac:dyDescent="0.25">
      <c r="A25">
        <v>24</v>
      </c>
      <c r="B25">
        <v>95</v>
      </c>
      <c r="C25" t="s">
        <v>36</v>
      </c>
      <c r="D25">
        <v>4</v>
      </c>
      <c r="E25">
        <v>261</v>
      </c>
      <c r="F25" t="s">
        <v>35</v>
      </c>
      <c r="G25">
        <v>4</v>
      </c>
      <c r="H25" t="b">
        <v>1</v>
      </c>
      <c r="I25">
        <v>1.775065134530053</v>
      </c>
      <c r="J25">
        <v>0.57726249142069475</v>
      </c>
      <c r="K25" s="12">
        <f>VLOOKUP(C25,Debye_Reference!$A$2:$B$16,2,FALSE)</f>
        <v>632.70000000000005</v>
      </c>
      <c r="L25" s="8">
        <f>VLOOKUP(F25,Debye_Reference!$A$2:$B$16,2,FALSE)</f>
        <v>497.2</v>
      </c>
      <c r="M25" s="13">
        <f t="shared" si="0"/>
        <v>135.50000000000006</v>
      </c>
    </row>
    <row r="26" spans="1:13" x14ac:dyDescent="0.25">
      <c r="A26">
        <v>25</v>
      </c>
      <c r="B26">
        <v>199</v>
      </c>
      <c r="C26" t="s">
        <v>40</v>
      </c>
      <c r="D26">
        <v>1</v>
      </c>
      <c r="E26">
        <v>261</v>
      </c>
      <c r="F26" t="s">
        <v>35</v>
      </c>
      <c r="G26">
        <v>4</v>
      </c>
      <c r="H26" t="b">
        <v>0</v>
      </c>
      <c r="I26">
        <v>1.796756808732455</v>
      </c>
      <c r="J26">
        <v>0.58431676207791183</v>
      </c>
      <c r="K26" s="12">
        <f>VLOOKUP(C26,Debye_Reference!$A$2:$B$16,2,FALSE)</f>
        <v>223.3</v>
      </c>
      <c r="L26" s="8">
        <f>VLOOKUP(F26,Debye_Reference!$A$2:$B$16,2,FALSE)</f>
        <v>497.2</v>
      </c>
      <c r="M26" s="13">
        <f t="shared" si="0"/>
        <v>273.89999999999998</v>
      </c>
    </row>
    <row r="27" spans="1:13" x14ac:dyDescent="0.25">
      <c r="A27">
        <v>26</v>
      </c>
      <c r="B27">
        <v>144</v>
      </c>
      <c r="C27" t="s">
        <v>29</v>
      </c>
      <c r="D27">
        <v>2</v>
      </c>
      <c r="E27">
        <v>199</v>
      </c>
      <c r="F27" t="s">
        <v>40</v>
      </c>
      <c r="G27">
        <v>1</v>
      </c>
      <c r="H27" t="b">
        <v>0</v>
      </c>
      <c r="I27">
        <v>1.8135547977334221</v>
      </c>
      <c r="J27">
        <v>0.58977957512793722</v>
      </c>
      <c r="K27" s="12">
        <f>VLOOKUP(C27,Debye_Reference!$A$2:$B$16,2,FALSE)</f>
        <v>366.1</v>
      </c>
      <c r="L27" s="8">
        <f>VLOOKUP(F27,Debye_Reference!$A$2:$B$16,2,FALSE)</f>
        <v>223.3</v>
      </c>
      <c r="M27" s="13">
        <f t="shared" si="0"/>
        <v>142.80000000000001</v>
      </c>
    </row>
    <row r="28" spans="1:13" x14ac:dyDescent="0.25">
      <c r="A28">
        <v>27</v>
      </c>
      <c r="B28">
        <v>15</v>
      </c>
      <c r="C28" t="s">
        <v>38</v>
      </c>
      <c r="D28">
        <v>4</v>
      </c>
      <c r="E28">
        <v>17</v>
      </c>
      <c r="F28" t="s">
        <v>30</v>
      </c>
      <c r="G28">
        <v>3</v>
      </c>
      <c r="H28" t="b">
        <v>0</v>
      </c>
      <c r="I28">
        <v>1.8735012697186311</v>
      </c>
      <c r="J28">
        <v>0.60927454976120576</v>
      </c>
      <c r="K28" s="12">
        <f>VLOOKUP(C28,Debye_Reference!$A$2:$B$16,2,FALSE)</f>
        <v>405.1</v>
      </c>
      <c r="L28" s="8">
        <f>VLOOKUP(F28,Debye_Reference!$A$2:$B$16,2,FALSE)</f>
        <v>507.2</v>
      </c>
      <c r="M28" s="13">
        <f t="shared" si="0"/>
        <v>102.09999999999997</v>
      </c>
    </row>
    <row r="29" spans="1:13" x14ac:dyDescent="0.25">
      <c r="A29">
        <v>28</v>
      </c>
      <c r="B29">
        <v>15</v>
      </c>
      <c r="C29" t="s">
        <v>38</v>
      </c>
      <c r="D29">
        <v>4</v>
      </c>
      <c r="E29">
        <v>111</v>
      </c>
      <c r="F29" t="s">
        <v>28</v>
      </c>
      <c r="G29">
        <v>2</v>
      </c>
      <c r="H29" t="b">
        <v>0</v>
      </c>
      <c r="I29">
        <v>1.8849846617245309</v>
      </c>
      <c r="J29">
        <v>0.61300902200694751</v>
      </c>
      <c r="K29" s="12">
        <f>VLOOKUP(C29,Debye_Reference!$A$2:$B$16,2,FALSE)</f>
        <v>405.1</v>
      </c>
      <c r="L29" s="8">
        <f>VLOOKUP(F29,Debye_Reference!$A$2:$B$16,2,FALSE)</f>
        <v>433.8</v>
      </c>
      <c r="M29" s="13">
        <f t="shared" si="0"/>
        <v>28.699999999999989</v>
      </c>
    </row>
    <row r="30" spans="1:13" x14ac:dyDescent="0.25">
      <c r="A30">
        <v>29</v>
      </c>
      <c r="B30">
        <v>171</v>
      </c>
      <c r="C30" t="s">
        <v>37</v>
      </c>
      <c r="D30">
        <v>4</v>
      </c>
      <c r="E30">
        <v>261</v>
      </c>
      <c r="F30" t="s">
        <v>35</v>
      </c>
      <c r="G30">
        <v>4</v>
      </c>
      <c r="H30" t="b">
        <v>1</v>
      </c>
      <c r="I30">
        <v>1.9044502383269111</v>
      </c>
      <c r="J30">
        <v>0.61933935154125208</v>
      </c>
      <c r="K30" s="12">
        <f>VLOOKUP(C30,Debye_Reference!$A$2:$B$16,2,FALSE)</f>
        <v>448</v>
      </c>
      <c r="L30" s="8">
        <f>VLOOKUP(F30,Debye_Reference!$A$2:$B$16,2,FALSE)</f>
        <v>497.2</v>
      </c>
      <c r="M30" s="13">
        <f t="shared" si="0"/>
        <v>49.199999999999989</v>
      </c>
    </row>
    <row r="31" spans="1:13" x14ac:dyDescent="0.25">
      <c r="A31">
        <v>30</v>
      </c>
      <c r="B31">
        <v>16</v>
      </c>
      <c r="C31" t="s">
        <v>34</v>
      </c>
      <c r="D31">
        <v>4</v>
      </c>
      <c r="E31">
        <v>199</v>
      </c>
      <c r="F31" t="s">
        <v>40</v>
      </c>
      <c r="G31">
        <v>1</v>
      </c>
      <c r="H31" t="b">
        <v>0</v>
      </c>
      <c r="I31">
        <v>1.958798867495954</v>
      </c>
      <c r="J31">
        <v>0.63701387202453974</v>
      </c>
      <c r="K31" s="12">
        <f>VLOOKUP(C31,Debye_Reference!$A$2:$B$16,2,FALSE)</f>
        <v>492.9</v>
      </c>
      <c r="L31" s="8">
        <f>VLOOKUP(F31,Debye_Reference!$A$2:$B$16,2,FALSE)</f>
        <v>223.3</v>
      </c>
      <c r="M31" s="13">
        <f t="shared" si="0"/>
        <v>269.59999999999997</v>
      </c>
    </row>
    <row r="32" spans="1:13" x14ac:dyDescent="0.25">
      <c r="A32">
        <v>31</v>
      </c>
      <c r="B32">
        <v>15</v>
      </c>
      <c r="C32" t="s">
        <v>38</v>
      </c>
      <c r="D32">
        <v>4</v>
      </c>
      <c r="E32">
        <v>180</v>
      </c>
      <c r="F32" t="s">
        <v>31</v>
      </c>
      <c r="G32">
        <v>3</v>
      </c>
      <c r="H32" t="b">
        <v>0</v>
      </c>
      <c r="I32">
        <v>1.979083313402783</v>
      </c>
      <c r="J32">
        <v>0.64361050307400514</v>
      </c>
      <c r="K32" s="12">
        <f>VLOOKUP(C32,Debye_Reference!$A$2:$B$16,2,FALSE)</f>
        <v>405.1</v>
      </c>
      <c r="L32" s="8">
        <f>VLOOKUP(F32,Debye_Reference!$A$2:$B$16,2,FALSE)</f>
        <v>425</v>
      </c>
      <c r="M32" s="13">
        <f t="shared" si="0"/>
        <v>19.899999999999977</v>
      </c>
    </row>
    <row r="33" spans="1:13" x14ac:dyDescent="0.25">
      <c r="A33">
        <v>32</v>
      </c>
      <c r="B33">
        <v>15</v>
      </c>
      <c r="C33" t="s">
        <v>38</v>
      </c>
      <c r="D33">
        <v>4</v>
      </c>
      <c r="E33">
        <v>171</v>
      </c>
      <c r="F33" t="s">
        <v>37</v>
      </c>
      <c r="G33">
        <v>4</v>
      </c>
      <c r="H33" t="b">
        <v>1</v>
      </c>
      <c r="I33">
        <v>1.980328397953113</v>
      </c>
      <c r="J33">
        <v>0.64401541250271954</v>
      </c>
      <c r="K33" s="12">
        <f>VLOOKUP(C33,Debye_Reference!$A$2:$B$16,2,FALSE)</f>
        <v>405.1</v>
      </c>
      <c r="L33" s="8">
        <f>VLOOKUP(F33,Debye_Reference!$A$2:$B$16,2,FALSE)</f>
        <v>448</v>
      </c>
      <c r="M33" s="13">
        <f t="shared" si="0"/>
        <v>42.899999999999977</v>
      </c>
    </row>
    <row r="34" spans="1:13" x14ac:dyDescent="0.25">
      <c r="A34">
        <v>33</v>
      </c>
      <c r="B34">
        <v>15</v>
      </c>
      <c r="C34" t="s">
        <v>38</v>
      </c>
      <c r="D34">
        <v>4</v>
      </c>
      <c r="E34">
        <v>95</v>
      </c>
      <c r="F34" t="s">
        <v>36</v>
      </c>
      <c r="G34">
        <v>4</v>
      </c>
      <c r="H34" t="b">
        <v>1</v>
      </c>
      <c r="I34">
        <v>1.986674609411845</v>
      </c>
      <c r="J34">
        <v>0.6460792409034275</v>
      </c>
      <c r="K34" s="12">
        <f>VLOOKUP(C34,Debye_Reference!$A$2:$B$16,2,FALSE)</f>
        <v>405.1</v>
      </c>
      <c r="L34" s="8">
        <f>VLOOKUP(F34,Debye_Reference!$A$2:$B$16,2,FALSE)</f>
        <v>632.70000000000005</v>
      </c>
      <c r="M34" s="13">
        <f t="shared" ref="M34:M65" si="1">ABS(K34-L34)</f>
        <v>227.60000000000002</v>
      </c>
    </row>
    <row r="35" spans="1:13" x14ac:dyDescent="0.25">
      <c r="A35">
        <v>34</v>
      </c>
      <c r="B35">
        <v>14</v>
      </c>
      <c r="C35" t="s">
        <v>41</v>
      </c>
      <c r="D35">
        <v>4</v>
      </c>
      <c r="E35">
        <v>283</v>
      </c>
      <c r="F35" t="s">
        <v>39</v>
      </c>
      <c r="G35">
        <v>4</v>
      </c>
      <c r="H35" t="b">
        <v>1</v>
      </c>
      <c r="I35">
        <v>1.9924709257389179</v>
      </c>
      <c r="J35">
        <v>0.64796423990371188</v>
      </c>
      <c r="K35" s="12">
        <f>VLOOKUP(C35,Debye_Reference!$A$2:$B$16,2,FALSE)</f>
        <v>637.4</v>
      </c>
      <c r="L35" s="8">
        <f>VLOOKUP(F35,Debye_Reference!$A$2:$B$16,2,FALSE)</f>
        <v>555.79999999999995</v>
      </c>
      <c r="M35" s="13">
        <f t="shared" si="1"/>
        <v>81.600000000000023</v>
      </c>
    </row>
    <row r="36" spans="1:13" x14ac:dyDescent="0.25">
      <c r="A36">
        <v>35</v>
      </c>
      <c r="B36">
        <v>144</v>
      </c>
      <c r="C36" t="s">
        <v>29</v>
      </c>
      <c r="D36">
        <v>2</v>
      </c>
      <c r="E36">
        <v>261</v>
      </c>
      <c r="F36" t="s">
        <v>35</v>
      </c>
      <c r="G36">
        <v>4</v>
      </c>
      <c r="H36" t="b">
        <v>0</v>
      </c>
      <c r="I36">
        <v>1.9959154152502281</v>
      </c>
      <c r="J36">
        <v>0.64908440983905225</v>
      </c>
      <c r="K36" s="12">
        <f>VLOOKUP(C36,Debye_Reference!$A$2:$B$16,2,FALSE)</f>
        <v>366.1</v>
      </c>
      <c r="L36" s="8">
        <f>VLOOKUP(F36,Debye_Reference!$A$2:$B$16,2,FALSE)</f>
        <v>497.2</v>
      </c>
      <c r="M36" s="13">
        <f t="shared" si="1"/>
        <v>131.09999999999997</v>
      </c>
    </row>
    <row r="37" spans="1:13" x14ac:dyDescent="0.25">
      <c r="A37">
        <v>36</v>
      </c>
      <c r="B37">
        <v>16</v>
      </c>
      <c r="C37" t="s">
        <v>34</v>
      </c>
      <c r="D37">
        <v>4</v>
      </c>
      <c r="E37">
        <v>283</v>
      </c>
      <c r="F37" t="s">
        <v>39</v>
      </c>
      <c r="G37">
        <v>4</v>
      </c>
      <c r="H37" t="b">
        <v>1</v>
      </c>
      <c r="I37">
        <v>1.996588803042687</v>
      </c>
      <c r="J37">
        <v>0.64930339983959118</v>
      </c>
      <c r="K37" s="12">
        <f>VLOOKUP(C37,Debye_Reference!$A$2:$B$16,2,FALSE)</f>
        <v>492.9</v>
      </c>
      <c r="L37" s="8">
        <f>VLOOKUP(F37,Debye_Reference!$A$2:$B$16,2,FALSE)</f>
        <v>555.79999999999995</v>
      </c>
      <c r="M37" s="13">
        <f t="shared" si="1"/>
        <v>62.899999999999977</v>
      </c>
    </row>
    <row r="38" spans="1:13" x14ac:dyDescent="0.25">
      <c r="A38">
        <v>37</v>
      </c>
      <c r="B38">
        <v>16</v>
      </c>
      <c r="C38" t="s">
        <v>34</v>
      </c>
      <c r="D38">
        <v>4</v>
      </c>
      <c r="E38">
        <v>111</v>
      </c>
      <c r="F38" t="s">
        <v>28</v>
      </c>
      <c r="G38">
        <v>2</v>
      </c>
      <c r="H38" t="b">
        <v>0</v>
      </c>
      <c r="I38">
        <v>2.009659971198674</v>
      </c>
      <c r="J38">
        <v>0.65355422700571719</v>
      </c>
      <c r="K38" s="12">
        <f>VLOOKUP(C38,Debye_Reference!$A$2:$B$16,2,FALSE)</f>
        <v>492.9</v>
      </c>
      <c r="L38" s="8">
        <f>VLOOKUP(F38,Debye_Reference!$A$2:$B$16,2,FALSE)</f>
        <v>433.8</v>
      </c>
      <c r="M38" s="13">
        <f t="shared" si="1"/>
        <v>59.099999999999966</v>
      </c>
    </row>
    <row r="39" spans="1:13" x14ac:dyDescent="0.25">
      <c r="A39">
        <v>38</v>
      </c>
      <c r="B39">
        <v>17</v>
      </c>
      <c r="C39" t="s">
        <v>30</v>
      </c>
      <c r="D39">
        <v>3</v>
      </c>
      <c r="E39">
        <v>261</v>
      </c>
      <c r="F39" t="s">
        <v>35</v>
      </c>
      <c r="G39">
        <v>4</v>
      </c>
      <c r="H39" t="b">
        <v>0</v>
      </c>
      <c r="I39">
        <v>2.015947433453698</v>
      </c>
      <c r="J39">
        <v>0.65559894979106415</v>
      </c>
      <c r="K39" s="12">
        <f>VLOOKUP(C39,Debye_Reference!$A$2:$B$16,2,FALSE)</f>
        <v>507.2</v>
      </c>
      <c r="L39" s="8">
        <f>VLOOKUP(F39,Debye_Reference!$A$2:$B$16,2,FALSE)</f>
        <v>497.2</v>
      </c>
      <c r="M39" s="13">
        <f t="shared" si="1"/>
        <v>10</v>
      </c>
    </row>
    <row r="40" spans="1:13" x14ac:dyDescent="0.25">
      <c r="A40">
        <v>39</v>
      </c>
      <c r="B40">
        <v>14</v>
      </c>
      <c r="C40" t="s">
        <v>41</v>
      </c>
      <c r="D40">
        <v>4</v>
      </c>
      <c r="E40">
        <v>16</v>
      </c>
      <c r="F40" t="s">
        <v>34</v>
      </c>
      <c r="G40">
        <v>4</v>
      </c>
      <c r="H40" t="b">
        <v>1</v>
      </c>
      <c r="I40">
        <v>2.016247920912444</v>
      </c>
      <c r="J40">
        <v>0.65569667022717792</v>
      </c>
      <c r="K40" s="12">
        <f>VLOOKUP(C40,Debye_Reference!$A$2:$B$16,2,FALSE)</f>
        <v>637.4</v>
      </c>
      <c r="L40" s="8">
        <f>VLOOKUP(F40,Debye_Reference!$A$2:$B$16,2,FALSE)</f>
        <v>492.9</v>
      </c>
      <c r="M40" s="13">
        <f t="shared" si="1"/>
        <v>144.5</v>
      </c>
    </row>
    <row r="41" spans="1:13" x14ac:dyDescent="0.25">
      <c r="A41">
        <v>40</v>
      </c>
      <c r="B41">
        <v>16</v>
      </c>
      <c r="C41" t="s">
        <v>34</v>
      </c>
      <c r="D41">
        <v>4</v>
      </c>
      <c r="E41">
        <v>142</v>
      </c>
      <c r="F41" t="s">
        <v>32</v>
      </c>
      <c r="G41">
        <v>3</v>
      </c>
      <c r="H41" t="b">
        <v>0</v>
      </c>
      <c r="I41">
        <v>2.0385978714642712</v>
      </c>
      <c r="J41">
        <v>0.66296501654737794</v>
      </c>
      <c r="K41" s="12">
        <f>VLOOKUP(C41,Debye_Reference!$A$2:$B$16,2,FALSE)</f>
        <v>492.9</v>
      </c>
      <c r="L41" s="8">
        <f>VLOOKUP(F41,Debye_Reference!$A$2:$B$16,2,FALSE)</f>
        <v>396.1</v>
      </c>
      <c r="M41" s="13">
        <f t="shared" si="1"/>
        <v>96.799999999999955</v>
      </c>
    </row>
    <row r="42" spans="1:13" x14ac:dyDescent="0.25">
      <c r="A42">
        <v>41</v>
      </c>
      <c r="B42">
        <v>111</v>
      </c>
      <c r="C42" t="s">
        <v>28</v>
      </c>
      <c r="D42">
        <v>2</v>
      </c>
      <c r="E42">
        <v>199</v>
      </c>
      <c r="F42" t="s">
        <v>40</v>
      </c>
      <c r="G42">
        <v>1</v>
      </c>
      <c r="H42" t="b">
        <v>0</v>
      </c>
      <c r="I42">
        <v>2.0473465573586669</v>
      </c>
      <c r="J42">
        <v>0.66581014494171897</v>
      </c>
      <c r="K42" s="12">
        <f>VLOOKUP(C42,Debye_Reference!$A$2:$B$16,2,FALSE)</f>
        <v>433.8</v>
      </c>
      <c r="L42" s="8">
        <f>VLOOKUP(F42,Debye_Reference!$A$2:$B$16,2,FALSE)</f>
        <v>223.3</v>
      </c>
      <c r="M42" s="13">
        <f t="shared" si="1"/>
        <v>210.5</v>
      </c>
    </row>
    <row r="43" spans="1:13" x14ac:dyDescent="0.25">
      <c r="A43">
        <v>42</v>
      </c>
      <c r="B43">
        <v>15</v>
      </c>
      <c r="C43" t="s">
        <v>38</v>
      </c>
      <c r="D43">
        <v>4</v>
      </c>
      <c r="E43">
        <v>283</v>
      </c>
      <c r="F43" t="s">
        <v>39</v>
      </c>
      <c r="G43">
        <v>4</v>
      </c>
      <c r="H43" t="b">
        <v>1</v>
      </c>
      <c r="I43">
        <v>2.0543943981079482</v>
      </c>
      <c r="J43">
        <v>0.66810214765808307</v>
      </c>
      <c r="K43" s="12">
        <f>VLOOKUP(C43,Debye_Reference!$A$2:$B$16,2,FALSE)</f>
        <v>405.1</v>
      </c>
      <c r="L43" s="8">
        <f>VLOOKUP(F43,Debye_Reference!$A$2:$B$16,2,FALSE)</f>
        <v>555.79999999999995</v>
      </c>
      <c r="M43" s="13">
        <f t="shared" si="1"/>
        <v>150.69999999999993</v>
      </c>
    </row>
    <row r="44" spans="1:13" x14ac:dyDescent="0.25">
      <c r="A44">
        <v>43</v>
      </c>
      <c r="B44">
        <v>171</v>
      </c>
      <c r="C44" t="s">
        <v>37</v>
      </c>
      <c r="D44">
        <v>4</v>
      </c>
      <c r="E44">
        <v>199</v>
      </c>
      <c r="F44" t="s">
        <v>40</v>
      </c>
      <c r="G44">
        <v>1</v>
      </c>
      <c r="H44" t="b">
        <v>0</v>
      </c>
      <c r="I44">
        <v>2.0559669801156799</v>
      </c>
      <c r="J44">
        <v>0.66861356134656569</v>
      </c>
      <c r="K44" s="12">
        <f>VLOOKUP(C44,Debye_Reference!$A$2:$B$16,2,FALSE)</f>
        <v>448</v>
      </c>
      <c r="L44" s="8">
        <f>VLOOKUP(F44,Debye_Reference!$A$2:$B$16,2,FALSE)</f>
        <v>223.3</v>
      </c>
      <c r="M44" s="13">
        <f t="shared" si="1"/>
        <v>224.7</v>
      </c>
    </row>
    <row r="45" spans="1:13" x14ac:dyDescent="0.25">
      <c r="A45">
        <v>44</v>
      </c>
      <c r="B45">
        <v>111</v>
      </c>
      <c r="C45" t="s">
        <v>28</v>
      </c>
      <c r="D45">
        <v>2</v>
      </c>
      <c r="E45">
        <v>261</v>
      </c>
      <c r="F45" t="s">
        <v>35</v>
      </c>
      <c r="G45">
        <v>4</v>
      </c>
      <c r="H45" t="b">
        <v>0</v>
      </c>
      <c r="I45">
        <v>2.0682200756113609</v>
      </c>
      <c r="J45">
        <v>0.67259834607128233</v>
      </c>
      <c r="K45" s="12">
        <f>VLOOKUP(C45,Debye_Reference!$A$2:$B$16,2,FALSE)</f>
        <v>433.8</v>
      </c>
      <c r="L45" s="8">
        <f>VLOOKUP(F45,Debye_Reference!$A$2:$B$16,2,FALSE)</f>
        <v>497.2</v>
      </c>
      <c r="M45" s="13">
        <f t="shared" si="1"/>
        <v>63.399999999999977</v>
      </c>
    </row>
    <row r="46" spans="1:13" x14ac:dyDescent="0.25">
      <c r="A46">
        <v>45</v>
      </c>
      <c r="B46">
        <v>261</v>
      </c>
      <c r="C46" t="s">
        <v>35</v>
      </c>
      <c r="D46">
        <v>4</v>
      </c>
      <c r="E46">
        <v>283</v>
      </c>
      <c r="F46" t="s">
        <v>39</v>
      </c>
      <c r="G46">
        <v>4</v>
      </c>
      <c r="H46" t="b">
        <v>1</v>
      </c>
      <c r="I46">
        <v>2.077589957205308</v>
      </c>
      <c r="J46">
        <v>0.67564549126501128</v>
      </c>
      <c r="K46" s="12">
        <f>VLOOKUP(C46,Debye_Reference!$A$2:$B$16,2,FALSE)</f>
        <v>497.2</v>
      </c>
      <c r="L46" s="8">
        <f>VLOOKUP(F46,Debye_Reference!$A$2:$B$16,2,FALSE)</f>
        <v>555.79999999999995</v>
      </c>
      <c r="M46" s="13">
        <f t="shared" si="1"/>
        <v>58.599999999999966</v>
      </c>
    </row>
    <row r="47" spans="1:13" x14ac:dyDescent="0.25">
      <c r="A47">
        <v>46</v>
      </c>
      <c r="B47">
        <v>15</v>
      </c>
      <c r="C47" t="s">
        <v>38</v>
      </c>
      <c r="D47">
        <v>4</v>
      </c>
      <c r="E47">
        <v>142</v>
      </c>
      <c r="F47" t="s">
        <v>32</v>
      </c>
      <c r="G47">
        <v>3</v>
      </c>
      <c r="H47" t="b">
        <v>0</v>
      </c>
      <c r="I47">
        <v>2.1264996456042931</v>
      </c>
      <c r="J47">
        <v>0.6915512335561429</v>
      </c>
      <c r="K47" s="12">
        <f>VLOOKUP(C47,Debye_Reference!$A$2:$B$16,2,FALSE)</f>
        <v>405.1</v>
      </c>
      <c r="L47" s="8">
        <f>VLOOKUP(F47,Debye_Reference!$A$2:$B$16,2,FALSE)</f>
        <v>396.1</v>
      </c>
      <c r="M47" s="13">
        <f t="shared" si="1"/>
        <v>9</v>
      </c>
    </row>
    <row r="48" spans="1:13" x14ac:dyDescent="0.25">
      <c r="A48">
        <v>47</v>
      </c>
      <c r="B48">
        <v>16</v>
      </c>
      <c r="C48" t="s">
        <v>34</v>
      </c>
      <c r="D48">
        <v>4</v>
      </c>
      <c r="E48">
        <v>180</v>
      </c>
      <c r="F48" t="s">
        <v>31</v>
      </c>
      <c r="G48">
        <v>3</v>
      </c>
      <c r="H48" t="b">
        <v>0</v>
      </c>
      <c r="I48">
        <v>2.157444646586137</v>
      </c>
      <c r="J48">
        <v>0.70161474503879295</v>
      </c>
      <c r="K48" s="12">
        <f>VLOOKUP(C48,Debye_Reference!$A$2:$B$16,2,FALSE)</f>
        <v>492.9</v>
      </c>
      <c r="L48" s="8">
        <f>VLOOKUP(F48,Debye_Reference!$A$2:$B$16,2,FALSE)</f>
        <v>425</v>
      </c>
      <c r="M48" s="13">
        <f t="shared" si="1"/>
        <v>67.899999999999977</v>
      </c>
    </row>
    <row r="49" spans="1:13" x14ac:dyDescent="0.25">
      <c r="A49">
        <v>48</v>
      </c>
      <c r="B49">
        <v>16</v>
      </c>
      <c r="C49" t="s">
        <v>34</v>
      </c>
      <c r="D49">
        <v>4</v>
      </c>
      <c r="E49">
        <v>95</v>
      </c>
      <c r="F49" t="s">
        <v>36</v>
      </c>
      <c r="G49">
        <v>4</v>
      </c>
      <c r="H49" t="b">
        <v>1</v>
      </c>
      <c r="I49">
        <v>2.1683955547858549</v>
      </c>
      <c r="J49">
        <v>0.70517605015809059</v>
      </c>
      <c r="K49" s="12">
        <f>VLOOKUP(C49,Debye_Reference!$A$2:$B$16,2,FALSE)</f>
        <v>492.9</v>
      </c>
      <c r="L49" s="8">
        <f>VLOOKUP(F49,Debye_Reference!$A$2:$B$16,2,FALSE)</f>
        <v>632.70000000000005</v>
      </c>
      <c r="M49" s="13">
        <f t="shared" si="1"/>
        <v>139.80000000000007</v>
      </c>
    </row>
    <row r="50" spans="1:13" x14ac:dyDescent="0.25">
      <c r="A50">
        <v>49</v>
      </c>
      <c r="B50">
        <v>16</v>
      </c>
      <c r="C50" t="s">
        <v>34</v>
      </c>
      <c r="D50">
        <v>4</v>
      </c>
      <c r="E50">
        <v>17</v>
      </c>
      <c r="F50" t="s">
        <v>30</v>
      </c>
      <c r="G50">
        <v>3</v>
      </c>
      <c r="H50" t="b">
        <v>0</v>
      </c>
      <c r="I50">
        <v>2.178965593742312</v>
      </c>
      <c r="J50">
        <v>0.70861349417280473</v>
      </c>
      <c r="K50" s="12">
        <f>VLOOKUP(C50,Debye_Reference!$A$2:$B$16,2,FALSE)</f>
        <v>492.9</v>
      </c>
      <c r="L50" s="8">
        <f>VLOOKUP(F50,Debye_Reference!$A$2:$B$16,2,FALSE)</f>
        <v>507.2</v>
      </c>
      <c r="M50" s="13">
        <f t="shared" si="1"/>
        <v>14.300000000000011</v>
      </c>
    </row>
    <row r="51" spans="1:13" x14ac:dyDescent="0.25">
      <c r="A51">
        <v>50</v>
      </c>
      <c r="B51">
        <v>199</v>
      </c>
      <c r="C51" t="s">
        <v>40</v>
      </c>
      <c r="D51">
        <v>1</v>
      </c>
      <c r="E51">
        <v>283</v>
      </c>
      <c r="F51" t="s">
        <v>39</v>
      </c>
      <c r="G51">
        <v>4</v>
      </c>
      <c r="H51" t="b">
        <v>0</v>
      </c>
      <c r="I51">
        <v>2.193421516162295</v>
      </c>
      <c r="J51">
        <v>0.71331465224842272</v>
      </c>
      <c r="K51" s="12">
        <f>VLOOKUP(C51,Debye_Reference!$A$2:$B$16,2,FALSE)</f>
        <v>223.3</v>
      </c>
      <c r="L51" s="8">
        <f>VLOOKUP(F51,Debye_Reference!$A$2:$B$16,2,FALSE)</f>
        <v>555.79999999999995</v>
      </c>
      <c r="M51" s="13">
        <f t="shared" si="1"/>
        <v>332.49999999999994</v>
      </c>
    </row>
    <row r="52" spans="1:13" x14ac:dyDescent="0.25">
      <c r="A52">
        <v>51</v>
      </c>
      <c r="B52">
        <v>16</v>
      </c>
      <c r="C52" t="s">
        <v>34</v>
      </c>
      <c r="D52">
        <v>4</v>
      </c>
      <c r="E52">
        <v>144</v>
      </c>
      <c r="F52" t="s">
        <v>29</v>
      </c>
      <c r="G52">
        <v>2</v>
      </c>
      <c r="H52" t="b">
        <v>0</v>
      </c>
      <c r="I52">
        <v>2.2086724008449261</v>
      </c>
      <c r="J52">
        <v>0.71827433711688582</v>
      </c>
      <c r="K52" s="12">
        <f>VLOOKUP(C52,Debye_Reference!$A$2:$B$16,2,FALSE)</f>
        <v>492.9</v>
      </c>
      <c r="L52" s="8">
        <f>VLOOKUP(F52,Debye_Reference!$A$2:$B$16,2,FALSE)</f>
        <v>366.1</v>
      </c>
      <c r="M52" s="13">
        <f t="shared" si="1"/>
        <v>126.79999999999995</v>
      </c>
    </row>
    <row r="53" spans="1:13" x14ac:dyDescent="0.25">
      <c r="A53">
        <v>52</v>
      </c>
      <c r="B53">
        <v>95</v>
      </c>
      <c r="C53" t="s">
        <v>36</v>
      </c>
      <c r="D53">
        <v>4</v>
      </c>
      <c r="E53">
        <v>199</v>
      </c>
      <c r="F53" t="s">
        <v>40</v>
      </c>
      <c r="G53">
        <v>1</v>
      </c>
      <c r="H53" t="b">
        <v>0</v>
      </c>
      <c r="I53">
        <v>2.2095736250627822</v>
      </c>
      <c r="J53">
        <v>0.71856742097460335</v>
      </c>
      <c r="K53" s="12">
        <f>VLOOKUP(C53,Debye_Reference!$A$2:$B$16,2,FALSE)</f>
        <v>632.70000000000005</v>
      </c>
      <c r="L53" s="8">
        <f>VLOOKUP(F53,Debye_Reference!$A$2:$B$16,2,FALSE)</f>
        <v>223.3</v>
      </c>
      <c r="M53" s="13">
        <f t="shared" si="1"/>
        <v>409.40000000000003</v>
      </c>
    </row>
    <row r="54" spans="1:13" x14ac:dyDescent="0.25">
      <c r="A54">
        <v>53</v>
      </c>
      <c r="B54">
        <v>153</v>
      </c>
      <c r="C54" t="s">
        <v>33</v>
      </c>
      <c r="D54">
        <v>2</v>
      </c>
      <c r="E54">
        <v>157</v>
      </c>
      <c r="F54" t="s">
        <v>42</v>
      </c>
      <c r="G54">
        <v>3</v>
      </c>
      <c r="H54" t="b">
        <v>0</v>
      </c>
      <c r="I54">
        <v>2.2182528844364602</v>
      </c>
      <c r="J54">
        <v>0.72138997142206185</v>
      </c>
      <c r="K54" s="12">
        <f>VLOOKUP(C54,Debye_Reference!$A$2:$B$16,2,FALSE)</f>
        <v>442.4</v>
      </c>
      <c r="L54" s="8">
        <f>VLOOKUP(F54,Debye_Reference!$A$2:$B$16,2,FALSE)</f>
        <v>412.4</v>
      </c>
      <c r="M54" s="13">
        <f t="shared" si="1"/>
        <v>30</v>
      </c>
    </row>
    <row r="55" spans="1:13" x14ac:dyDescent="0.25">
      <c r="A55">
        <v>54</v>
      </c>
      <c r="B55">
        <v>15</v>
      </c>
      <c r="C55" t="s">
        <v>38</v>
      </c>
      <c r="D55">
        <v>4</v>
      </c>
      <c r="E55">
        <v>144</v>
      </c>
      <c r="F55" t="s">
        <v>29</v>
      </c>
      <c r="G55">
        <v>2</v>
      </c>
      <c r="H55" t="b">
        <v>0</v>
      </c>
      <c r="I55">
        <v>2.235107052864135</v>
      </c>
      <c r="J55">
        <v>0.72687105437959509</v>
      </c>
      <c r="K55" s="12">
        <f>VLOOKUP(C55,Debye_Reference!$A$2:$B$16,2,FALSE)</f>
        <v>405.1</v>
      </c>
      <c r="L55" s="8">
        <f>VLOOKUP(F55,Debye_Reference!$A$2:$B$16,2,FALSE)</f>
        <v>366.1</v>
      </c>
      <c r="M55" s="13">
        <f t="shared" si="1"/>
        <v>39</v>
      </c>
    </row>
    <row r="56" spans="1:13" x14ac:dyDescent="0.25">
      <c r="A56">
        <v>55</v>
      </c>
      <c r="B56">
        <v>157</v>
      </c>
      <c r="C56" t="s">
        <v>42</v>
      </c>
      <c r="D56">
        <v>3</v>
      </c>
      <c r="E56">
        <v>171</v>
      </c>
      <c r="F56" t="s">
        <v>37</v>
      </c>
      <c r="G56">
        <v>4</v>
      </c>
      <c r="H56" t="b">
        <v>0</v>
      </c>
      <c r="I56">
        <v>2.2377856783839758</v>
      </c>
      <c r="J56">
        <v>0.72774216046527429</v>
      </c>
      <c r="K56" s="12">
        <f>VLOOKUP(C56,Debye_Reference!$A$2:$B$16,2,FALSE)</f>
        <v>412.4</v>
      </c>
      <c r="L56" s="8">
        <f>VLOOKUP(F56,Debye_Reference!$A$2:$B$16,2,FALSE)</f>
        <v>448</v>
      </c>
      <c r="M56" s="13">
        <f t="shared" si="1"/>
        <v>35.600000000000023</v>
      </c>
    </row>
    <row r="57" spans="1:13" x14ac:dyDescent="0.25">
      <c r="A57">
        <v>56</v>
      </c>
      <c r="B57">
        <v>95</v>
      </c>
      <c r="C57" t="s">
        <v>36</v>
      </c>
      <c r="D57">
        <v>4</v>
      </c>
      <c r="E57">
        <v>283</v>
      </c>
      <c r="F57" t="s">
        <v>39</v>
      </c>
      <c r="G57">
        <v>4</v>
      </c>
      <c r="H57" t="b">
        <v>1</v>
      </c>
      <c r="I57">
        <v>2.2406705015562629</v>
      </c>
      <c r="J57">
        <v>0.7286803233412994</v>
      </c>
      <c r="K57" s="12">
        <f>VLOOKUP(C57,Debye_Reference!$A$2:$B$16,2,FALSE)</f>
        <v>632.70000000000005</v>
      </c>
      <c r="L57" s="8">
        <f>VLOOKUP(F57,Debye_Reference!$A$2:$B$16,2,FALSE)</f>
        <v>555.79999999999995</v>
      </c>
      <c r="M57" s="13">
        <f t="shared" si="1"/>
        <v>76.900000000000091</v>
      </c>
    </row>
    <row r="58" spans="1:13" x14ac:dyDescent="0.25">
      <c r="A58">
        <v>57</v>
      </c>
      <c r="B58">
        <v>153</v>
      </c>
      <c r="C58" t="s">
        <v>33</v>
      </c>
      <c r="D58">
        <v>2</v>
      </c>
      <c r="E58">
        <v>171</v>
      </c>
      <c r="F58" t="s">
        <v>37</v>
      </c>
      <c r="G58">
        <v>4</v>
      </c>
      <c r="H58" t="b">
        <v>0</v>
      </c>
      <c r="I58">
        <v>2.2407815840341052</v>
      </c>
      <c r="J58">
        <v>0.7287164480708459</v>
      </c>
      <c r="K58" s="12">
        <f>VLOOKUP(C58,Debye_Reference!$A$2:$B$16,2,FALSE)</f>
        <v>442.4</v>
      </c>
      <c r="L58" s="8">
        <f>VLOOKUP(F58,Debye_Reference!$A$2:$B$16,2,FALSE)</f>
        <v>448</v>
      </c>
      <c r="M58" s="13">
        <f t="shared" si="1"/>
        <v>5.6000000000000227</v>
      </c>
    </row>
    <row r="59" spans="1:13" x14ac:dyDescent="0.25">
      <c r="A59">
        <v>58</v>
      </c>
      <c r="B59">
        <v>14</v>
      </c>
      <c r="C59" t="s">
        <v>41</v>
      </c>
      <c r="D59">
        <v>4</v>
      </c>
      <c r="E59">
        <v>95</v>
      </c>
      <c r="F59" t="s">
        <v>36</v>
      </c>
      <c r="G59">
        <v>4</v>
      </c>
      <c r="H59" t="b">
        <v>1</v>
      </c>
      <c r="I59">
        <v>2.2538765256166449</v>
      </c>
      <c r="J59">
        <v>0.73297500650675751</v>
      </c>
      <c r="K59" s="12">
        <f>VLOOKUP(C59,Debye_Reference!$A$2:$B$16,2,FALSE)</f>
        <v>637.4</v>
      </c>
      <c r="L59" s="8">
        <f>VLOOKUP(F59,Debye_Reference!$A$2:$B$16,2,FALSE)</f>
        <v>632.70000000000005</v>
      </c>
      <c r="M59" s="13">
        <f t="shared" si="1"/>
        <v>4.6999999999999318</v>
      </c>
    </row>
    <row r="60" spans="1:13" x14ac:dyDescent="0.25">
      <c r="A60">
        <v>59</v>
      </c>
      <c r="B60">
        <v>95</v>
      </c>
      <c r="C60" t="s">
        <v>36</v>
      </c>
      <c r="D60">
        <v>4</v>
      </c>
      <c r="E60">
        <v>153</v>
      </c>
      <c r="F60" t="s">
        <v>33</v>
      </c>
      <c r="G60">
        <v>2</v>
      </c>
      <c r="H60" t="b">
        <v>0</v>
      </c>
      <c r="I60">
        <v>2.2582323059593601</v>
      </c>
      <c r="J60">
        <v>0.73439153402668</v>
      </c>
      <c r="K60" s="12">
        <f>VLOOKUP(C60,Debye_Reference!$A$2:$B$16,2,FALSE)</f>
        <v>632.70000000000005</v>
      </c>
      <c r="L60" s="8">
        <f>VLOOKUP(F60,Debye_Reference!$A$2:$B$16,2,FALSE)</f>
        <v>442.4</v>
      </c>
      <c r="M60" s="13">
        <f t="shared" si="1"/>
        <v>190.30000000000007</v>
      </c>
    </row>
    <row r="61" spans="1:13" x14ac:dyDescent="0.25">
      <c r="A61">
        <v>60</v>
      </c>
      <c r="B61">
        <v>15</v>
      </c>
      <c r="C61" t="s">
        <v>38</v>
      </c>
      <c r="D61">
        <v>4</v>
      </c>
      <c r="E61">
        <v>153</v>
      </c>
      <c r="F61" t="s">
        <v>33</v>
      </c>
      <c r="G61">
        <v>2</v>
      </c>
      <c r="H61" t="b">
        <v>0</v>
      </c>
      <c r="I61">
        <v>2.263852509860623</v>
      </c>
      <c r="J61">
        <v>0.73621926014400596</v>
      </c>
      <c r="K61" s="12">
        <f>VLOOKUP(C61,Debye_Reference!$A$2:$B$16,2,FALSE)</f>
        <v>405.1</v>
      </c>
      <c r="L61" s="8">
        <f>VLOOKUP(F61,Debye_Reference!$A$2:$B$16,2,FALSE)</f>
        <v>442.4</v>
      </c>
      <c r="M61" s="13">
        <f t="shared" si="1"/>
        <v>37.299999999999955</v>
      </c>
    </row>
    <row r="62" spans="1:13" x14ac:dyDescent="0.25">
      <c r="A62">
        <v>61</v>
      </c>
      <c r="B62">
        <v>111</v>
      </c>
      <c r="C62" t="s">
        <v>28</v>
      </c>
      <c r="D62">
        <v>2</v>
      </c>
      <c r="E62">
        <v>171</v>
      </c>
      <c r="F62" t="s">
        <v>37</v>
      </c>
      <c r="G62">
        <v>4</v>
      </c>
      <c r="H62" t="b">
        <v>0</v>
      </c>
      <c r="I62">
        <v>2.2645891680606489</v>
      </c>
      <c r="J62">
        <v>0.73645882608420765</v>
      </c>
      <c r="K62" s="12">
        <f>VLOOKUP(C62,Debye_Reference!$A$2:$B$16,2,FALSE)</f>
        <v>433.8</v>
      </c>
      <c r="L62" s="8">
        <f>VLOOKUP(F62,Debye_Reference!$A$2:$B$16,2,FALSE)</f>
        <v>448</v>
      </c>
      <c r="M62" s="13">
        <f t="shared" si="1"/>
        <v>14.199999999999989</v>
      </c>
    </row>
    <row r="63" spans="1:13" x14ac:dyDescent="0.25">
      <c r="A63">
        <v>62</v>
      </c>
      <c r="B63">
        <v>153</v>
      </c>
      <c r="C63" t="s">
        <v>33</v>
      </c>
      <c r="D63">
        <v>2</v>
      </c>
      <c r="E63">
        <v>261</v>
      </c>
      <c r="F63" t="s">
        <v>35</v>
      </c>
      <c r="G63">
        <v>4</v>
      </c>
      <c r="H63" t="b">
        <v>0</v>
      </c>
      <c r="I63">
        <v>2.2659677677206069</v>
      </c>
      <c r="J63">
        <v>0.73690715547725261</v>
      </c>
      <c r="K63" s="12">
        <f>VLOOKUP(C63,Debye_Reference!$A$2:$B$16,2,FALSE)</f>
        <v>442.4</v>
      </c>
      <c r="L63" s="8">
        <f>VLOOKUP(F63,Debye_Reference!$A$2:$B$16,2,FALSE)</f>
        <v>497.2</v>
      </c>
      <c r="M63" s="13">
        <f t="shared" si="1"/>
        <v>54.800000000000011</v>
      </c>
    </row>
    <row r="64" spans="1:13" x14ac:dyDescent="0.25">
      <c r="A64">
        <v>63</v>
      </c>
      <c r="B64">
        <v>15</v>
      </c>
      <c r="C64" t="s">
        <v>38</v>
      </c>
      <c r="D64">
        <v>4</v>
      </c>
      <c r="E64">
        <v>157</v>
      </c>
      <c r="F64" t="s">
        <v>42</v>
      </c>
      <c r="G64">
        <v>3</v>
      </c>
      <c r="H64" t="b">
        <v>0</v>
      </c>
      <c r="I64">
        <v>2.270305420339997</v>
      </c>
      <c r="J64">
        <v>0.73831778774605072</v>
      </c>
      <c r="K64" s="12">
        <f>VLOOKUP(C64,Debye_Reference!$A$2:$B$16,2,FALSE)</f>
        <v>405.1</v>
      </c>
      <c r="L64" s="8">
        <f>VLOOKUP(F64,Debye_Reference!$A$2:$B$16,2,FALSE)</f>
        <v>412.4</v>
      </c>
      <c r="M64" s="13">
        <f t="shared" si="1"/>
        <v>7.2999999999999545</v>
      </c>
    </row>
    <row r="65" spans="1:13" x14ac:dyDescent="0.25">
      <c r="A65">
        <v>64</v>
      </c>
      <c r="B65">
        <v>180</v>
      </c>
      <c r="C65" t="s">
        <v>31</v>
      </c>
      <c r="D65">
        <v>3</v>
      </c>
      <c r="E65">
        <v>261</v>
      </c>
      <c r="F65" t="s">
        <v>35</v>
      </c>
      <c r="G65">
        <v>4</v>
      </c>
      <c r="H65" t="b">
        <v>0</v>
      </c>
      <c r="I65">
        <v>2.2852007245254429</v>
      </c>
      <c r="J65">
        <v>0.74316183557127924</v>
      </c>
      <c r="K65" s="12">
        <f>VLOOKUP(C65,Debye_Reference!$A$2:$B$16,2,FALSE)</f>
        <v>425</v>
      </c>
      <c r="L65" s="8">
        <f>VLOOKUP(F65,Debye_Reference!$A$2:$B$16,2,FALSE)</f>
        <v>497.2</v>
      </c>
      <c r="M65" s="13">
        <f t="shared" si="1"/>
        <v>72.199999999999989</v>
      </c>
    </row>
    <row r="66" spans="1:13" x14ac:dyDescent="0.25">
      <c r="A66">
        <v>65</v>
      </c>
      <c r="B66">
        <v>180</v>
      </c>
      <c r="C66" t="s">
        <v>31</v>
      </c>
      <c r="D66">
        <v>3</v>
      </c>
      <c r="E66">
        <v>199</v>
      </c>
      <c r="F66" t="s">
        <v>40</v>
      </c>
      <c r="G66">
        <v>1</v>
      </c>
      <c r="H66" t="b">
        <v>0</v>
      </c>
      <c r="I66">
        <v>2.2945349432916089</v>
      </c>
      <c r="J66">
        <v>0.74619738298619109</v>
      </c>
      <c r="K66" s="12">
        <f>VLOOKUP(C66,Debye_Reference!$A$2:$B$16,2,FALSE)</f>
        <v>425</v>
      </c>
      <c r="L66" s="8">
        <f>VLOOKUP(F66,Debye_Reference!$A$2:$B$16,2,FALSE)</f>
        <v>223.3</v>
      </c>
      <c r="M66" s="13">
        <f t="shared" ref="M66:M97" si="2">ABS(K66-L66)</f>
        <v>201.7</v>
      </c>
    </row>
    <row r="67" spans="1:13" x14ac:dyDescent="0.25">
      <c r="A67">
        <v>66</v>
      </c>
      <c r="B67">
        <v>142</v>
      </c>
      <c r="C67" t="s">
        <v>32</v>
      </c>
      <c r="D67">
        <v>3</v>
      </c>
      <c r="E67">
        <v>199</v>
      </c>
      <c r="F67" t="s">
        <v>40</v>
      </c>
      <c r="G67">
        <v>1</v>
      </c>
      <c r="H67" t="b">
        <v>0</v>
      </c>
      <c r="I67">
        <v>2.2957751854378339</v>
      </c>
      <c r="J67">
        <v>0.74660071763423741</v>
      </c>
      <c r="K67" s="12">
        <f>VLOOKUP(C67,Debye_Reference!$A$2:$B$16,2,FALSE)</f>
        <v>396.1</v>
      </c>
      <c r="L67" s="8">
        <f>VLOOKUP(F67,Debye_Reference!$A$2:$B$16,2,FALSE)</f>
        <v>223.3</v>
      </c>
      <c r="M67" s="13">
        <f t="shared" si="2"/>
        <v>172.8</v>
      </c>
    </row>
    <row r="68" spans="1:13" x14ac:dyDescent="0.25">
      <c r="A68">
        <v>67</v>
      </c>
      <c r="B68">
        <v>16</v>
      </c>
      <c r="C68" t="s">
        <v>34</v>
      </c>
      <c r="D68">
        <v>4</v>
      </c>
      <c r="E68">
        <v>153</v>
      </c>
      <c r="F68" t="s">
        <v>33</v>
      </c>
      <c r="G68">
        <v>2</v>
      </c>
      <c r="H68" t="b">
        <v>0</v>
      </c>
      <c r="I68">
        <v>2.308766294569891</v>
      </c>
      <c r="J68">
        <v>0.75082550909569257</v>
      </c>
      <c r="K68" s="12">
        <f>VLOOKUP(C68,Debye_Reference!$A$2:$B$16,2,FALSE)</f>
        <v>492.9</v>
      </c>
      <c r="L68" s="8">
        <f>VLOOKUP(F68,Debye_Reference!$A$2:$B$16,2,FALSE)</f>
        <v>442.4</v>
      </c>
      <c r="M68" s="13">
        <f t="shared" si="2"/>
        <v>50.5</v>
      </c>
    </row>
    <row r="69" spans="1:13" x14ac:dyDescent="0.25">
      <c r="A69">
        <v>68</v>
      </c>
      <c r="B69">
        <v>142</v>
      </c>
      <c r="C69" t="s">
        <v>32</v>
      </c>
      <c r="D69">
        <v>3</v>
      </c>
      <c r="E69">
        <v>261</v>
      </c>
      <c r="F69" t="s">
        <v>35</v>
      </c>
      <c r="G69">
        <v>4</v>
      </c>
      <c r="H69" t="b">
        <v>0</v>
      </c>
      <c r="I69">
        <v>2.3355057840064259</v>
      </c>
      <c r="J69">
        <v>0.75952136142876092</v>
      </c>
      <c r="K69" s="12">
        <f>VLOOKUP(C69,Debye_Reference!$A$2:$B$16,2,FALSE)</f>
        <v>396.1</v>
      </c>
      <c r="L69" s="8">
        <f>VLOOKUP(F69,Debye_Reference!$A$2:$B$16,2,FALSE)</f>
        <v>497.2</v>
      </c>
      <c r="M69" s="13">
        <f t="shared" si="2"/>
        <v>101.09999999999997</v>
      </c>
    </row>
    <row r="70" spans="1:13" x14ac:dyDescent="0.25">
      <c r="A70">
        <v>69</v>
      </c>
      <c r="B70">
        <v>17</v>
      </c>
      <c r="C70" t="s">
        <v>30</v>
      </c>
      <c r="D70">
        <v>3</v>
      </c>
      <c r="E70">
        <v>95</v>
      </c>
      <c r="F70" t="s">
        <v>36</v>
      </c>
      <c r="G70">
        <v>4</v>
      </c>
      <c r="H70" t="b">
        <v>0</v>
      </c>
      <c r="I70">
        <v>2.342368064834158</v>
      </c>
      <c r="J70">
        <v>0.76175301887635882</v>
      </c>
      <c r="K70" s="12">
        <f>VLOOKUP(C70,Debye_Reference!$A$2:$B$16,2,FALSE)</f>
        <v>507.2</v>
      </c>
      <c r="L70" s="8">
        <f>VLOOKUP(F70,Debye_Reference!$A$2:$B$16,2,FALSE)</f>
        <v>632.70000000000005</v>
      </c>
      <c r="M70" s="13">
        <f t="shared" si="2"/>
        <v>125.50000000000006</v>
      </c>
    </row>
    <row r="71" spans="1:13" x14ac:dyDescent="0.25">
      <c r="A71">
        <v>70</v>
      </c>
      <c r="B71">
        <v>14</v>
      </c>
      <c r="C71" t="s">
        <v>41</v>
      </c>
      <c r="D71">
        <v>4</v>
      </c>
      <c r="E71">
        <v>261</v>
      </c>
      <c r="F71" t="s">
        <v>35</v>
      </c>
      <c r="G71">
        <v>4</v>
      </c>
      <c r="H71" t="b">
        <v>1</v>
      </c>
      <c r="I71">
        <v>2.365725012003105</v>
      </c>
      <c r="J71">
        <v>0.76934884691243666</v>
      </c>
      <c r="K71" s="12">
        <f>VLOOKUP(C71,Debye_Reference!$A$2:$B$16,2,FALSE)</f>
        <v>637.4</v>
      </c>
      <c r="L71" s="8">
        <f>VLOOKUP(F71,Debye_Reference!$A$2:$B$16,2,FALSE)</f>
        <v>497.2</v>
      </c>
      <c r="M71" s="13">
        <f t="shared" si="2"/>
        <v>140.19999999999999</v>
      </c>
    </row>
    <row r="72" spans="1:13" x14ac:dyDescent="0.25">
      <c r="A72">
        <v>71</v>
      </c>
      <c r="B72">
        <v>17</v>
      </c>
      <c r="C72" t="s">
        <v>30</v>
      </c>
      <c r="D72">
        <v>3</v>
      </c>
      <c r="E72">
        <v>199</v>
      </c>
      <c r="F72" t="s">
        <v>40</v>
      </c>
      <c r="G72">
        <v>1</v>
      </c>
      <c r="H72" t="b">
        <v>0</v>
      </c>
      <c r="I72">
        <v>2.3733422022893489</v>
      </c>
      <c r="J72">
        <v>0.77182600572578186</v>
      </c>
      <c r="K72" s="12">
        <f>VLOOKUP(C72,Debye_Reference!$A$2:$B$16,2,FALSE)</f>
        <v>507.2</v>
      </c>
      <c r="L72" s="8">
        <f>VLOOKUP(F72,Debye_Reference!$A$2:$B$16,2,FALSE)</f>
        <v>223.3</v>
      </c>
      <c r="M72" s="13">
        <f t="shared" si="2"/>
        <v>283.89999999999998</v>
      </c>
    </row>
    <row r="73" spans="1:13" x14ac:dyDescent="0.25">
      <c r="A73">
        <v>72</v>
      </c>
      <c r="B73">
        <v>153</v>
      </c>
      <c r="C73" t="s">
        <v>33</v>
      </c>
      <c r="D73">
        <v>2</v>
      </c>
      <c r="E73">
        <v>199</v>
      </c>
      <c r="F73" t="s">
        <v>40</v>
      </c>
      <c r="G73">
        <v>1</v>
      </c>
      <c r="H73" t="b">
        <v>0</v>
      </c>
      <c r="I73">
        <v>2.3799830950537082</v>
      </c>
      <c r="J73">
        <v>0.77398566636461585</v>
      </c>
      <c r="K73" s="12">
        <f>VLOOKUP(C73,Debye_Reference!$A$2:$B$16,2,FALSE)</f>
        <v>442.4</v>
      </c>
      <c r="L73" s="8">
        <f>VLOOKUP(F73,Debye_Reference!$A$2:$B$16,2,FALSE)</f>
        <v>223.3</v>
      </c>
      <c r="M73" s="13">
        <f t="shared" si="2"/>
        <v>219.09999999999997</v>
      </c>
    </row>
    <row r="74" spans="1:13" x14ac:dyDescent="0.25">
      <c r="A74">
        <v>73</v>
      </c>
      <c r="B74">
        <v>142</v>
      </c>
      <c r="C74" t="s">
        <v>32</v>
      </c>
      <c r="D74">
        <v>3</v>
      </c>
      <c r="E74">
        <v>171</v>
      </c>
      <c r="F74" t="s">
        <v>37</v>
      </c>
      <c r="G74">
        <v>4</v>
      </c>
      <c r="H74" t="b">
        <v>0</v>
      </c>
      <c r="I74">
        <v>2.380203013950501</v>
      </c>
      <c r="J74">
        <v>0.77405718539104706</v>
      </c>
      <c r="K74" s="12">
        <f>VLOOKUP(C74,Debye_Reference!$A$2:$B$16,2,FALSE)</f>
        <v>396.1</v>
      </c>
      <c r="L74" s="8">
        <f>VLOOKUP(F74,Debye_Reference!$A$2:$B$16,2,FALSE)</f>
        <v>448</v>
      </c>
      <c r="M74" s="13">
        <f t="shared" si="2"/>
        <v>51.899999999999977</v>
      </c>
    </row>
    <row r="75" spans="1:13" x14ac:dyDescent="0.25">
      <c r="A75">
        <v>74</v>
      </c>
      <c r="B75">
        <v>142</v>
      </c>
      <c r="C75" t="s">
        <v>32</v>
      </c>
      <c r="D75">
        <v>3</v>
      </c>
      <c r="E75">
        <v>157</v>
      </c>
      <c r="F75" t="s">
        <v>42</v>
      </c>
      <c r="G75">
        <v>3</v>
      </c>
      <c r="H75" t="b">
        <v>1</v>
      </c>
      <c r="I75">
        <v>2.3832262068588559</v>
      </c>
      <c r="J75">
        <v>0.77504034698685187</v>
      </c>
      <c r="K75" s="12">
        <f>VLOOKUP(C75,Debye_Reference!$A$2:$B$16,2,FALSE)</f>
        <v>396.1</v>
      </c>
      <c r="L75" s="8">
        <f>VLOOKUP(F75,Debye_Reference!$A$2:$B$16,2,FALSE)</f>
        <v>412.4</v>
      </c>
      <c r="M75" s="13">
        <f t="shared" si="2"/>
        <v>16.299999999999955</v>
      </c>
    </row>
    <row r="76" spans="1:13" x14ac:dyDescent="0.25">
      <c r="A76">
        <v>75</v>
      </c>
      <c r="B76">
        <v>111</v>
      </c>
      <c r="C76" t="s">
        <v>28</v>
      </c>
      <c r="D76">
        <v>2</v>
      </c>
      <c r="E76">
        <v>157</v>
      </c>
      <c r="F76" t="s">
        <v>42</v>
      </c>
      <c r="G76">
        <v>3</v>
      </c>
      <c r="H76" t="b">
        <v>0</v>
      </c>
      <c r="I76">
        <v>2.4017672664785139</v>
      </c>
      <c r="J76">
        <v>0.78107001770789675</v>
      </c>
      <c r="K76" s="12">
        <f>VLOOKUP(C76,Debye_Reference!$A$2:$B$16,2,FALSE)</f>
        <v>433.8</v>
      </c>
      <c r="L76" s="8">
        <f>VLOOKUP(F76,Debye_Reference!$A$2:$B$16,2,FALSE)</f>
        <v>412.4</v>
      </c>
      <c r="M76" s="13">
        <f t="shared" si="2"/>
        <v>21.400000000000034</v>
      </c>
    </row>
    <row r="77" spans="1:13" x14ac:dyDescent="0.25">
      <c r="A77">
        <v>76</v>
      </c>
      <c r="B77">
        <v>14</v>
      </c>
      <c r="C77" t="s">
        <v>41</v>
      </c>
      <c r="D77">
        <v>4</v>
      </c>
      <c r="E77">
        <v>15</v>
      </c>
      <c r="F77" t="s">
        <v>38</v>
      </c>
      <c r="G77">
        <v>4</v>
      </c>
      <c r="H77" t="b">
        <v>1</v>
      </c>
      <c r="I77">
        <v>2.4144556379500459</v>
      </c>
      <c r="J77">
        <v>0.78519635695328283</v>
      </c>
      <c r="K77" s="12">
        <f>VLOOKUP(C77,Debye_Reference!$A$2:$B$16,2,FALSE)</f>
        <v>637.4</v>
      </c>
      <c r="L77" s="8">
        <f>VLOOKUP(F77,Debye_Reference!$A$2:$B$16,2,FALSE)</f>
        <v>405.1</v>
      </c>
      <c r="M77" s="13">
        <f t="shared" si="2"/>
        <v>232.29999999999995</v>
      </c>
    </row>
    <row r="78" spans="1:13" x14ac:dyDescent="0.25">
      <c r="A78">
        <v>77</v>
      </c>
      <c r="B78">
        <v>95</v>
      </c>
      <c r="C78" t="s">
        <v>36</v>
      </c>
      <c r="D78">
        <v>4</v>
      </c>
      <c r="E78">
        <v>111</v>
      </c>
      <c r="F78" t="s">
        <v>28</v>
      </c>
      <c r="G78">
        <v>2</v>
      </c>
      <c r="H78" t="b">
        <v>0</v>
      </c>
      <c r="I78">
        <v>2.426944136894539</v>
      </c>
      <c r="J78">
        <v>0.78925769637940546</v>
      </c>
      <c r="K78" s="12">
        <f>VLOOKUP(C78,Debye_Reference!$A$2:$B$16,2,FALSE)</f>
        <v>632.70000000000005</v>
      </c>
      <c r="L78" s="8">
        <f>VLOOKUP(F78,Debye_Reference!$A$2:$B$16,2,FALSE)</f>
        <v>433.8</v>
      </c>
      <c r="M78" s="13">
        <f t="shared" si="2"/>
        <v>198.90000000000003</v>
      </c>
    </row>
    <row r="79" spans="1:13" x14ac:dyDescent="0.25">
      <c r="A79">
        <v>78</v>
      </c>
      <c r="B79">
        <v>95</v>
      </c>
      <c r="C79" t="s">
        <v>36</v>
      </c>
      <c r="D79">
        <v>4</v>
      </c>
      <c r="E79">
        <v>157</v>
      </c>
      <c r="F79" t="s">
        <v>42</v>
      </c>
      <c r="G79">
        <v>3</v>
      </c>
      <c r="H79" t="b">
        <v>0</v>
      </c>
      <c r="I79">
        <v>2.4445253382026122</v>
      </c>
      <c r="J79">
        <v>0.79497521506187019</v>
      </c>
      <c r="K79" s="12">
        <f>VLOOKUP(C79,Debye_Reference!$A$2:$B$16,2,FALSE)</f>
        <v>632.70000000000005</v>
      </c>
      <c r="L79" s="8">
        <f>VLOOKUP(F79,Debye_Reference!$A$2:$B$16,2,FALSE)</f>
        <v>412.4</v>
      </c>
      <c r="M79" s="13">
        <f t="shared" si="2"/>
        <v>220.30000000000007</v>
      </c>
    </row>
    <row r="80" spans="1:13" x14ac:dyDescent="0.25">
      <c r="A80">
        <v>79</v>
      </c>
      <c r="B80">
        <v>16</v>
      </c>
      <c r="C80" t="s">
        <v>34</v>
      </c>
      <c r="D80">
        <v>4</v>
      </c>
      <c r="E80">
        <v>157</v>
      </c>
      <c r="F80" t="s">
        <v>42</v>
      </c>
      <c r="G80">
        <v>3</v>
      </c>
      <c r="H80" t="b">
        <v>0</v>
      </c>
      <c r="I80">
        <v>2.4447819717471431</v>
      </c>
      <c r="J80">
        <v>0.79505867392566953</v>
      </c>
      <c r="K80" s="12">
        <f>VLOOKUP(C80,Debye_Reference!$A$2:$B$16,2,FALSE)</f>
        <v>492.9</v>
      </c>
      <c r="L80" s="8">
        <f>VLOOKUP(F80,Debye_Reference!$A$2:$B$16,2,FALSE)</f>
        <v>412.4</v>
      </c>
      <c r="M80" s="13">
        <f t="shared" si="2"/>
        <v>80.5</v>
      </c>
    </row>
    <row r="81" spans="1:13" x14ac:dyDescent="0.25">
      <c r="A81">
        <v>80</v>
      </c>
      <c r="B81">
        <v>17</v>
      </c>
      <c r="C81" t="s">
        <v>30</v>
      </c>
      <c r="D81">
        <v>3</v>
      </c>
      <c r="E81">
        <v>171</v>
      </c>
      <c r="F81" t="s">
        <v>37</v>
      </c>
      <c r="G81">
        <v>4</v>
      </c>
      <c r="H81" t="b">
        <v>0</v>
      </c>
      <c r="I81">
        <v>2.4618412030107488</v>
      </c>
      <c r="J81">
        <v>0.80060644462398722</v>
      </c>
      <c r="K81" s="12">
        <f>VLOOKUP(C81,Debye_Reference!$A$2:$B$16,2,FALSE)</f>
        <v>507.2</v>
      </c>
      <c r="L81" s="8">
        <f>VLOOKUP(F81,Debye_Reference!$A$2:$B$16,2,FALSE)</f>
        <v>448</v>
      </c>
      <c r="M81" s="13">
        <f t="shared" si="2"/>
        <v>59.199999999999989</v>
      </c>
    </row>
    <row r="82" spans="1:13" x14ac:dyDescent="0.25">
      <c r="A82">
        <v>81</v>
      </c>
      <c r="B82">
        <v>144</v>
      </c>
      <c r="C82" t="s">
        <v>29</v>
      </c>
      <c r="D82">
        <v>2</v>
      </c>
      <c r="E82">
        <v>171</v>
      </c>
      <c r="F82" t="s">
        <v>37</v>
      </c>
      <c r="G82">
        <v>4</v>
      </c>
      <c r="H82" t="b">
        <v>0</v>
      </c>
      <c r="I82">
        <v>2.4735723961930418</v>
      </c>
      <c r="J82">
        <v>0.8044215033911355</v>
      </c>
      <c r="K82" s="12">
        <f>VLOOKUP(C82,Debye_Reference!$A$2:$B$16,2,FALSE)</f>
        <v>366.1</v>
      </c>
      <c r="L82" s="8">
        <f>VLOOKUP(F82,Debye_Reference!$A$2:$B$16,2,FALSE)</f>
        <v>448</v>
      </c>
      <c r="M82" s="13">
        <f t="shared" si="2"/>
        <v>81.899999999999977</v>
      </c>
    </row>
    <row r="83" spans="1:13" x14ac:dyDescent="0.25">
      <c r="A83">
        <v>82</v>
      </c>
      <c r="B83">
        <v>95</v>
      </c>
      <c r="C83" t="s">
        <v>36</v>
      </c>
      <c r="D83">
        <v>4</v>
      </c>
      <c r="E83">
        <v>180</v>
      </c>
      <c r="F83" t="s">
        <v>31</v>
      </c>
      <c r="G83">
        <v>3</v>
      </c>
      <c r="H83" t="b">
        <v>0</v>
      </c>
      <c r="I83">
        <v>2.4791495409684199</v>
      </c>
      <c r="J83">
        <v>0.80623522640637635</v>
      </c>
      <c r="K83" s="12">
        <f>VLOOKUP(C83,Debye_Reference!$A$2:$B$16,2,FALSE)</f>
        <v>632.70000000000005</v>
      </c>
      <c r="L83" s="8">
        <f>VLOOKUP(F83,Debye_Reference!$A$2:$B$16,2,FALSE)</f>
        <v>425</v>
      </c>
      <c r="M83" s="13">
        <f t="shared" si="2"/>
        <v>207.70000000000005</v>
      </c>
    </row>
    <row r="84" spans="1:13" x14ac:dyDescent="0.25">
      <c r="A84">
        <v>83</v>
      </c>
      <c r="B84">
        <v>14</v>
      </c>
      <c r="C84" t="s">
        <v>41</v>
      </c>
      <c r="D84">
        <v>4</v>
      </c>
      <c r="E84">
        <v>199</v>
      </c>
      <c r="F84" t="s">
        <v>40</v>
      </c>
      <c r="G84">
        <v>1</v>
      </c>
      <c r="H84" t="b">
        <v>0</v>
      </c>
      <c r="I84">
        <v>2.489788798094958</v>
      </c>
      <c r="J84">
        <v>0.80969518061101808</v>
      </c>
      <c r="K84" s="12">
        <f>VLOOKUP(C84,Debye_Reference!$A$2:$B$16,2,FALSE)</f>
        <v>637.4</v>
      </c>
      <c r="L84" s="8">
        <f>VLOOKUP(F84,Debye_Reference!$A$2:$B$16,2,FALSE)</f>
        <v>223.3</v>
      </c>
      <c r="M84" s="13">
        <f t="shared" si="2"/>
        <v>414.09999999999997</v>
      </c>
    </row>
    <row r="85" spans="1:13" x14ac:dyDescent="0.25">
      <c r="A85">
        <v>84</v>
      </c>
      <c r="B85">
        <v>95</v>
      </c>
      <c r="C85" t="s">
        <v>36</v>
      </c>
      <c r="D85">
        <v>4</v>
      </c>
      <c r="E85">
        <v>144</v>
      </c>
      <c r="F85" t="s">
        <v>29</v>
      </c>
      <c r="G85">
        <v>2</v>
      </c>
      <c r="H85" t="b">
        <v>0</v>
      </c>
      <c r="I85">
        <v>2.4898082239251922</v>
      </c>
      <c r="J85">
        <v>0.80970149801478042</v>
      </c>
      <c r="K85" s="12">
        <f>VLOOKUP(C85,Debye_Reference!$A$2:$B$16,2,FALSE)</f>
        <v>632.70000000000005</v>
      </c>
      <c r="L85" s="8">
        <f>VLOOKUP(F85,Debye_Reference!$A$2:$B$16,2,FALSE)</f>
        <v>366.1</v>
      </c>
      <c r="M85" s="13">
        <f t="shared" si="2"/>
        <v>266.60000000000002</v>
      </c>
    </row>
    <row r="86" spans="1:13" x14ac:dyDescent="0.25">
      <c r="A86">
        <v>85</v>
      </c>
      <c r="B86">
        <v>17</v>
      </c>
      <c r="C86" t="s">
        <v>30</v>
      </c>
      <c r="D86">
        <v>3</v>
      </c>
      <c r="E86">
        <v>157</v>
      </c>
      <c r="F86" t="s">
        <v>42</v>
      </c>
      <c r="G86">
        <v>3</v>
      </c>
      <c r="H86" t="b">
        <v>1</v>
      </c>
      <c r="I86">
        <v>2.518034719528274</v>
      </c>
      <c r="J86">
        <v>0.81888093422753905</v>
      </c>
      <c r="K86" s="12">
        <f>VLOOKUP(C86,Debye_Reference!$A$2:$B$16,2,FALSE)</f>
        <v>507.2</v>
      </c>
      <c r="L86" s="8">
        <f>VLOOKUP(F86,Debye_Reference!$A$2:$B$16,2,FALSE)</f>
        <v>412.4</v>
      </c>
      <c r="M86" s="13">
        <f t="shared" si="2"/>
        <v>94.800000000000011</v>
      </c>
    </row>
    <row r="87" spans="1:13" x14ac:dyDescent="0.25">
      <c r="A87">
        <v>86</v>
      </c>
      <c r="B87">
        <v>171</v>
      </c>
      <c r="C87" t="s">
        <v>37</v>
      </c>
      <c r="D87">
        <v>4</v>
      </c>
      <c r="E87">
        <v>180</v>
      </c>
      <c r="F87" t="s">
        <v>31</v>
      </c>
      <c r="G87">
        <v>3</v>
      </c>
      <c r="H87" t="b">
        <v>0</v>
      </c>
      <c r="I87">
        <v>2.5298607985674439</v>
      </c>
      <c r="J87">
        <v>0.82272685047990057</v>
      </c>
      <c r="K87" s="12">
        <f>VLOOKUP(C87,Debye_Reference!$A$2:$B$16,2,FALSE)</f>
        <v>448</v>
      </c>
      <c r="L87" s="8">
        <f>VLOOKUP(F87,Debye_Reference!$A$2:$B$16,2,FALSE)</f>
        <v>425</v>
      </c>
      <c r="M87" s="13">
        <f t="shared" si="2"/>
        <v>23</v>
      </c>
    </row>
    <row r="88" spans="1:13" x14ac:dyDescent="0.25">
      <c r="A88">
        <v>87</v>
      </c>
      <c r="B88">
        <v>95</v>
      </c>
      <c r="C88" t="s">
        <v>36</v>
      </c>
      <c r="D88">
        <v>4</v>
      </c>
      <c r="E88">
        <v>142</v>
      </c>
      <c r="F88" t="s">
        <v>32</v>
      </c>
      <c r="G88">
        <v>3</v>
      </c>
      <c r="H88" t="b">
        <v>0</v>
      </c>
      <c r="I88">
        <v>2.5860042064783881</v>
      </c>
      <c r="J88">
        <v>0.84098504444532918</v>
      </c>
      <c r="K88" s="12">
        <f>VLOOKUP(C88,Debye_Reference!$A$2:$B$16,2,FALSE)</f>
        <v>632.70000000000005</v>
      </c>
      <c r="L88" s="8">
        <f>VLOOKUP(F88,Debye_Reference!$A$2:$B$16,2,FALSE)</f>
        <v>396.1</v>
      </c>
      <c r="M88" s="13">
        <f t="shared" si="2"/>
        <v>236.60000000000002</v>
      </c>
    </row>
    <row r="89" spans="1:13" x14ac:dyDescent="0.25">
      <c r="A89">
        <v>88</v>
      </c>
      <c r="B89">
        <v>144</v>
      </c>
      <c r="C89" t="s">
        <v>29</v>
      </c>
      <c r="D89">
        <v>2</v>
      </c>
      <c r="E89">
        <v>157</v>
      </c>
      <c r="F89" t="s">
        <v>42</v>
      </c>
      <c r="G89">
        <v>3</v>
      </c>
      <c r="H89" t="b">
        <v>0</v>
      </c>
      <c r="I89">
        <v>2.6016925320797841</v>
      </c>
      <c r="J89">
        <v>0.8460869878876911</v>
      </c>
      <c r="K89" s="12">
        <f>VLOOKUP(C89,Debye_Reference!$A$2:$B$16,2,FALSE)</f>
        <v>366.1</v>
      </c>
      <c r="L89" s="8">
        <f>VLOOKUP(F89,Debye_Reference!$A$2:$B$16,2,FALSE)</f>
        <v>412.4</v>
      </c>
      <c r="M89" s="13">
        <f t="shared" si="2"/>
        <v>46.299999999999955</v>
      </c>
    </row>
    <row r="90" spans="1:13" x14ac:dyDescent="0.25">
      <c r="A90">
        <v>89</v>
      </c>
      <c r="B90">
        <v>157</v>
      </c>
      <c r="C90" t="s">
        <v>42</v>
      </c>
      <c r="D90">
        <v>3</v>
      </c>
      <c r="E90">
        <v>261</v>
      </c>
      <c r="F90" t="s">
        <v>35</v>
      </c>
      <c r="G90">
        <v>4</v>
      </c>
      <c r="H90" t="b">
        <v>0</v>
      </c>
      <c r="I90">
        <v>2.6072491274267868</v>
      </c>
      <c r="J90">
        <v>0.84789402809789571</v>
      </c>
      <c r="K90" s="12">
        <f>VLOOKUP(C90,Debye_Reference!$A$2:$B$16,2,FALSE)</f>
        <v>412.4</v>
      </c>
      <c r="L90" s="8">
        <f>VLOOKUP(F90,Debye_Reference!$A$2:$B$16,2,FALSE)</f>
        <v>497.2</v>
      </c>
      <c r="M90" s="13">
        <f t="shared" si="2"/>
        <v>84.800000000000011</v>
      </c>
    </row>
    <row r="91" spans="1:13" x14ac:dyDescent="0.25">
      <c r="A91">
        <v>90</v>
      </c>
      <c r="B91">
        <v>142</v>
      </c>
      <c r="C91" t="s">
        <v>32</v>
      </c>
      <c r="D91">
        <v>3</v>
      </c>
      <c r="E91">
        <v>283</v>
      </c>
      <c r="F91" t="s">
        <v>39</v>
      </c>
      <c r="G91">
        <v>4</v>
      </c>
      <c r="H91" t="b">
        <v>0</v>
      </c>
      <c r="I91">
        <v>2.6341855213782268</v>
      </c>
      <c r="J91">
        <v>0.85665391503377097</v>
      </c>
      <c r="K91" s="12">
        <f>VLOOKUP(C91,Debye_Reference!$A$2:$B$16,2,FALSE)</f>
        <v>396.1</v>
      </c>
      <c r="L91" s="8">
        <f>VLOOKUP(F91,Debye_Reference!$A$2:$B$16,2,FALSE)</f>
        <v>555.79999999999995</v>
      </c>
      <c r="M91" s="13">
        <f t="shared" si="2"/>
        <v>159.69999999999993</v>
      </c>
    </row>
    <row r="92" spans="1:13" x14ac:dyDescent="0.25">
      <c r="A92">
        <v>91</v>
      </c>
      <c r="B92">
        <v>111</v>
      </c>
      <c r="C92" t="s">
        <v>28</v>
      </c>
      <c r="D92">
        <v>2</v>
      </c>
      <c r="E92">
        <v>283</v>
      </c>
      <c r="F92" t="s">
        <v>39</v>
      </c>
      <c r="G92">
        <v>4</v>
      </c>
      <c r="H92" t="b">
        <v>0</v>
      </c>
      <c r="I92">
        <v>2.6687843642126352</v>
      </c>
      <c r="J92">
        <v>0.86790567916700723</v>
      </c>
      <c r="K92" s="12">
        <f>VLOOKUP(C92,Debye_Reference!$A$2:$B$16,2,FALSE)</f>
        <v>433.8</v>
      </c>
      <c r="L92" s="8">
        <f>VLOOKUP(F92,Debye_Reference!$A$2:$B$16,2,FALSE)</f>
        <v>555.79999999999995</v>
      </c>
      <c r="M92" s="13">
        <f t="shared" si="2"/>
        <v>121.99999999999994</v>
      </c>
    </row>
    <row r="93" spans="1:13" x14ac:dyDescent="0.25">
      <c r="A93">
        <v>92</v>
      </c>
      <c r="B93">
        <v>157</v>
      </c>
      <c r="C93" t="s">
        <v>42</v>
      </c>
      <c r="D93">
        <v>3</v>
      </c>
      <c r="E93">
        <v>283</v>
      </c>
      <c r="F93" t="s">
        <v>39</v>
      </c>
      <c r="G93">
        <v>4</v>
      </c>
      <c r="H93" t="b">
        <v>0</v>
      </c>
      <c r="I93">
        <v>2.680706999208295</v>
      </c>
      <c r="J93">
        <v>0.87178299603161702</v>
      </c>
      <c r="K93" s="12">
        <f>VLOOKUP(C93,Debye_Reference!$A$2:$B$16,2,FALSE)</f>
        <v>412.4</v>
      </c>
      <c r="L93" s="8">
        <f>VLOOKUP(F93,Debye_Reference!$A$2:$B$16,2,FALSE)</f>
        <v>555.79999999999995</v>
      </c>
      <c r="M93" s="13">
        <f t="shared" si="2"/>
        <v>143.39999999999998</v>
      </c>
    </row>
    <row r="94" spans="1:13" x14ac:dyDescent="0.25">
      <c r="A94">
        <v>93</v>
      </c>
      <c r="B94">
        <v>157</v>
      </c>
      <c r="C94" t="s">
        <v>42</v>
      </c>
      <c r="D94">
        <v>3</v>
      </c>
      <c r="E94">
        <v>199</v>
      </c>
      <c r="F94" t="s">
        <v>40</v>
      </c>
      <c r="G94">
        <v>1</v>
      </c>
      <c r="H94" t="b">
        <v>0</v>
      </c>
      <c r="I94">
        <v>2.6938916819209142</v>
      </c>
      <c r="J94">
        <v>0.87607073885480791</v>
      </c>
      <c r="K94" s="12">
        <f>VLOOKUP(C94,Debye_Reference!$A$2:$B$16,2,FALSE)</f>
        <v>412.4</v>
      </c>
      <c r="L94" s="8">
        <f>VLOOKUP(F94,Debye_Reference!$A$2:$B$16,2,FALSE)</f>
        <v>223.3</v>
      </c>
      <c r="M94" s="13">
        <f t="shared" si="2"/>
        <v>189.09999999999997</v>
      </c>
    </row>
    <row r="95" spans="1:13" x14ac:dyDescent="0.25">
      <c r="A95">
        <v>94</v>
      </c>
      <c r="B95">
        <v>144</v>
      </c>
      <c r="C95" t="s">
        <v>29</v>
      </c>
      <c r="D95">
        <v>2</v>
      </c>
      <c r="E95">
        <v>283</v>
      </c>
      <c r="F95" t="s">
        <v>39</v>
      </c>
      <c r="G95">
        <v>4</v>
      </c>
      <c r="H95" t="b">
        <v>0</v>
      </c>
      <c r="I95">
        <v>2.7143326113759918</v>
      </c>
      <c r="J95">
        <v>0.8827182593511852</v>
      </c>
      <c r="K95" s="12">
        <f>VLOOKUP(C95,Debye_Reference!$A$2:$B$16,2,FALSE)</f>
        <v>366.1</v>
      </c>
      <c r="L95" s="8">
        <f>VLOOKUP(F95,Debye_Reference!$A$2:$B$16,2,FALSE)</f>
        <v>555.79999999999995</v>
      </c>
      <c r="M95" s="13">
        <f t="shared" si="2"/>
        <v>189.69999999999993</v>
      </c>
    </row>
    <row r="96" spans="1:13" x14ac:dyDescent="0.25">
      <c r="A96">
        <v>95</v>
      </c>
      <c r="B96">
        <v>14</v>
      </c>
      <c r="C96" t="s">
        <v>41</v>
      </c>
      <c r="D96">
        <v>4</v>
      </c>
      <c r="E96">
        <v>111</v>
      </c>
      <c r="F96" t="s">
        <v>28</v>
      </c>
      <c r="G96">
        <v>2</v>
      </c>
      <c r="H96" t="b">
        <v>0</v>
      </c>
      <c r="I96">
        <v>2.7431226083406899</v>
      </c>
      <c r="J96">
        <v>0.89208094979704067</v>
      </c>
      <c r="K96" s="12">
        <f>VLOOKUP(C96,Debye_Reference!$A$2:$B$16,2,FALSE)</f>
        <v>637.4</v>
      </c>
      <c r="L96" s="8">
        <f>VLOOKUP(F96,Debye_Reference!$A$2:$B$16,2,FALSE)</f>
        <v>433.8</v>
      </c>
      <c r="M96" s="13">
        <f t="shared" si="2"/>
        <v>203.59999999999997</v>
      </c>
    </row>
    <row r="97" spans="1:13" x14ac:dyDescent="0.25">
      <c r="A97">
        <v>96</v>
      </c>
      <c r="B97">
        <v>157</v>
      </c>
      <c r="C97" t="s">
        <v>42</v>
      </c>
      <c r="D97">
        <v>3</v>
      </c>
      <c r="E97">
        <v>180</v>
      </c>
      <c r="F97" t="s">
        <v>31</v>
      </c>
      <c r="G97">
        <v>3</v>
      </c>
      <c r="H97" t="b">
        <v>1</v>
      </c>
      <c r="I97">
        <v>2.757681048583712</v>
      </c>
      <c r="J97">
        <v>0.896815447321894</v>
      </c>
      <c r="K97" s="12">
        <f>VLOOKUP(C97,Debye_Reference!$A$2:$B$16,2,FALSE)</f>
        <v>412.4</v>
      </c>
      <c r="L97" s="8">
        <f>VLOOKUP(F97,Debye_Reference!$A$2:$B$16,2,FALSE)</f>
        <v>425</v>
      </c>
      <c r="M97" s="13">
        <f t="shared" si="2"/>
        <v>12.600000000000023</v>
      </c>
    </row>
    <row r="98" spans="1:13" x14ac:dyDescent="0.25">
      <c r="A98">
        <v>97</v>
      </c>
      <c r="B98">
        <v>17</v>
      </c>
      <c r="C98" t="s">
        <v>30</v>
      </c>
      <c r="D98">
        <v>3</v>
      </c>
      <c r="E98">
        <v>283</v>
      </c>
      <c r="F98" t="s">
        <v>39</v>
      </c>
      <c r="G98">
        <v>4</v>
      </c>
      <c r="H98" t="b">
        <v>0</v>
      </c>
      <c r="I98">
        <v>2.7616396092668398</v>
      </c>
      <c r="J98">
        <v>0.898102796477669</v>
      </c>
      <c r="K98" s="12">
        <f>VLOOKUP(C98,Debye_Reference!$A$2:$B$16,2,FALSE)</f>
        <v>507.2</v>
      </c>
      <c r="L98" s="8">
        <f>VLOOKUP(F98,Debye_Reference!$A$2:$B$16,2,FALSE)</f>
        <v>555.79999999999995</v>
      </c>
      <c r="M98" s="13">
        <f t="shared" ref="M98:M129" si="3">ABS(K98-L98)</f>
        <v>48.599999999999966</v>
      </c>
    </row>
    <row r="99" spans="1:13" x14ac:dyDescent="0.25">
      <c r="A99">
        <v>98</v>
      </c>
      <c r="B99">
        <v>14</v>
      </c>
      <c r="C99" t="s">
        <v>41</v>
      </c>
      <c r="D99">
        <v>4</v>
      </c>
      <c r="E99">
        <v>17</v>
      </c>
      <c r="F99" t="s">
        <v>30</v>
      </c>
      <c r="G99">
        <v>3</v>
      </c>
      <c r="H99" t="b">
        <v>0</v>
      </c>
      <c r="I99">
        <v>2.8570779467398828</v>
      </c>
      <c r="J99">
        <v>0.92913995190088317</v>
      </c>
      <c r="K99" s="12">
        <f>VLOOKUP(C99,Debye_Reference!$A$2:$B$16,2,FALSE)</f>
        <v>637.4</v>
      </c>
      <c r="L99" s="8">
        <f>VLOOKUP(F99,Debye_Reference!$A$2:$B$16,2,FALSE)</f>
        <v>507.2</v>
      </c>
      <c r="M99" s="13">
        <f t="shared" si="3"/>
        <v>130.19999999999999</v>
      </c>
    </row>
    <row r="100" spans="1:13" x14ac:dyDescent="0.25">
      <c r="A100">
        <v>99</v>
      </c>
      <c r="B100">
        <v>14</v>
      </c>
      <c r="C100" t="s">
        <v>41</v>
      </c>
      <c r="D100">
        <v>4</v>
      </c>
      <c r="E100">
        <v>153</v>
      </c>
      <c r="F100" t="s">
        <v>33</v>
      </c>
      <c r="G100">
        <v>2</v>
      </c>
      <c r="H100" t="b">
        <v>0</v>
      </c>
      <c r="I100">
        <v>2.88884839561553</v>
      </c>
      <c r="J100">
        <v>0.93947190429786653</v>
      </c>
      <c r="K100" s="12">
        <f>VLOOKUP(C100,Debye_Reference!$A$2:$B$16,2,FALSE)</f>
        <v>637.4</v>
      </c>
      <c r="L100" s="8">
        <f>VLOOKUP(F100,Debye_Reference!$A$2:$B$16,2,FALSE)</f>
        <v>442.4</v>
      </c>
      <c r="M100" s="13">
        <f t="shared" si="3"/>
        <v>195</v>
      </c>
    </row>
    <row r="101" spans="1:13" x14ac:dyDescent="0.25">
      <c r="A101">
        <v>100</v>
      </c>
      <c r="B101">
        <v>180</v>
      </c>
      <c r="C101" t="s">
        <v>31</v>
      </c>
      <c r="D101">
        <v>3</v>
      </c>
      <c r="E101">
        <v>283</v>
      </c>
      <c r="F101" t="s">
        <v>39</v>
      </c>
      <c r="G101">
        <v>4</v>
      </c>
      <c r="H101" t="b">
        <v>0</v>
      </c>
      <c r="I101">
        <v>2.930765043786423</v>
      </c>
      <c r="J101">
        <v>0.95310346535128132</v>
      </c>
      <c r="K101" s="12">
        <f>VLOOKUP(C101,Debye_Reference!$A$2:$B$16,2,FALSE)</f>
        <v>425</v>
      </c>
      <c r="L101" s="8">
        <f>VLOOKUP(F101,Debye_Reference!$A$2:$B$16,2,FALSE)</f>
        <v>555.79999999999995</v>
      </c>
      <c r="M101" s="13">
        <f t="shared" si="3"/>
        <v>130.79999999999995</v>
      </c>
    </row>
    <row r="102" spans="1:13" x14ac:dyDescent="0.25">
      <c r="A102">
        <v>101</v>
      </c>
      <c r="B102">
        <v>153</v>
      </c>
      <c r="C102" t="s">
        <v>33</v>
      </c>
      <c r="D102">
        <v>2</v>
      </c>
      <c r="E102">
        <v>283</v>
      </c>
      <c r="F102" t="s">
        <v>39</v>
      </c>
      <c r="G102">
        <v>4</v>
      </c>
      <c r="H102" t="b">
        <v>0</v>
      </c>
      <c r="I102">
        <v>2.9677594375354861</v>
      </c>
      <c r="J102">
        <v>0.96513427790500561</v>
      </c>
      <c r="K102" s="12">
        <f>VLOOKUP(C102,Debye_Reference!$A$2:$B$16,2,FALSE)</f>
        <v>442.4</v>
      </c>
      <c r="L102" s="8">
        <f>VLOOKUP(F102,Debye_Reference!$A$2:$B$16,2,FALSE)</f>
        <v>555.79999999999995</v>
      </c>
      <c r="M102" s="13">
        <f t="shared" si="3"/>
        <v>113.39999999999998</v>
      </c>
    </row>
    <row r="103" spans="1:13" x14ac:dyDescent="0.25">
      <c r="A103">
        <v>102</v>
      </c>
      <c r="B103">
        <v>14</v>
      </c>
      <c r="C103" t="s">
        <v>41</v>
      </c>
      <c r="D103">
        <v>4</v>
      </c>
      <c r="E103">
        <v>180</v>
      </c>
      <c r="F103" t="s">
        <v>31</v>
      </c>
      <c r="G103">
        <v>3</v>
      </c>
      <c r="H103" t="b">
        <v>0</v>
      </c>
      <c r="I103">
        <v>2.9705865481595461</v>
      </c>
      <c r="J103">
        <v>0.96605367229263694</v>
      </c>
      <c r="K103" s="12">
        <f>VLOOKUP(C103,Debye_Reference!$A$2:$B$16,2,FALSE)</f>
        <v>637.4</v>
      </c>
      <c r="L103" s="8">
        <f>VLOOKUP(F103,Debye_Reference!$A$2:$B$16,2,FALSE)</f>
        <v>425</v>
      </c>
      <c r="M103" s="13">
        <f t="shared" si="3"/>
        <v>212.39999999999998</v>
      </c>
    </row>
    <row r="104" spans="1:13" x14ac:dyDescent="0.25">
      <c r="A104">
        <v>103</v>
      </c>
      <c r="B104">
        <v>14</v>
      </c>
      <c r="C104" t="s">
        <v>41</v>
      </c>
      <c r="D104">
        <v>4</v>
      </c>
      <c r="E104">
        <v>157</v>
      </c>
      <c r="F104" t="s">
        <v>42</v>
      </c>
      <c r="G104">
        <v>3</v>
      </c>
      <c r="H104" t="b">
        <v>0</v>
      </c>
      <c r="I104">
        <v>2.9767916725470092</v>
      </c>
      <c r="J104">
        <v>0.96807161827884469</v>
      </c>
      <c r="K104" s="12">
        <f>VLOOKUP(C104,Debye_Reference!$A$2:$B$16,2,FALSE)</f>
        <v>637.4</v>
      </c>
      <c r="L104" s="8">
        <f>VLOOKUP(F104,Debye_Reference!$A$2:$B$16,2,FALSE)</f>
        <v>412.4</v>
      </c>
      <c r="M104" s="13">
        <f t="shared" si="3"/>
        <v>225</v>
      </c>
    </row>
    <row r="105" spans="1:13" x14ac:dyDescent="0.25">
      <c r="A105">
        <v>104</v>
      </c>
      <c r="B105">
        <v>14</v>
      </c>
      <c r="C105" t="s">
        <v>41</v>
      </c>
      <c r="D105">
        <v>4</v>
      </c>
      <c r="E105">
        <v>142</v>
      </c>
      <c r="F105" t="s">
        <v>32</v>
      </c>
      <c r="G105">
        <v>3</v>
      </c>
      <c r="H105" t="b">
        <v>0</v>
      </c>
      <c r="I105">
        <v>3.0194528678567738</v>
      </c>
      <c r="J105">
        <v>0.98194531080563718</v>
      </c>
      <c r="K105" s="12">
        <f>VLOOKUP(C105,Debye_Reference!$A$2:$B$16,2,FALSE)</f>
        <v>637.4</v>
      </c>
      <c r="L105" s="8">
        <f>VLOOKUP(F105,Debye_Reference!$A$2:$B$16,2,FALSE)</f>
        <v>396.1</v>
      </c>
      <c r="M105" s="13">
        <f t="shared" si="3"/>
        <v>241.29999999999995</v>
      </c>
    </row>
    <row r="106" spans="1:13" x14ac:dyDescent="0.25">
      <c r="A106">
        <v>105</v>
      </c>
      <c r="B106">
        <v>14</v>
      </c>
      <c r="C106" t="s">
        <v>41</v>
      </c>
      <c r="D106">
        <v>4</v>
      </c>
      <c r="E106">
        <v>144</v>
      </c>
      <c r="F106" t="s">
        <v>29</v>
      </c>
      <c r="G106">
        <v>2</v>
      </c>
      <c r="H106" t="b">
        <v>0</v>
      </c>
      <c r="I106">
        <v>3.0749705045991438</v>
      </c>
      <c r="J106">
        <v>1</v>
      </c>
      <c r="K106" s="14">
        <f>VLOOKUP(C106,Debye_Reference!$A$2:$B$16,2,FALSE)</f>
        <v>637.4</v>
      </c>
      <c r="L106" s="15">
        <f>VLOOKUP(F106,Debye_Reference!$A$2:$B$16,2,FALSE)</f>
        <v>366.1</v>
      </c>
      <c r="M106" s="16">
        <f t="shared" si="3"/>
        <v>271.29999999999995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"/>
  <sheetViews>
    <sheetView workbookViewId="0"/>
  </sheetViews>
  <sheetFormatPr defaultRowHeight="15" x14ac:dyDescent="0.25"/>
  <sheetData>
    <row r="1" spans="1:37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</row>
    <row r="2" spans="1:37" x14ac:dyDescent="0.25">
      <c r="A2">
        <v>14</v>
      </c>
      <c r="B2" t="s">
        <v>41</v>
      </c>
      <c r="C2">
        <v>4</v>
      </c>
      <c r="D2">
        <v>1.365911055908247</v>
      </c>
      <c r="E2">
        <v>0.4377117706287606</v>
      </c>
      <c r="F2">
        <v>0.13761656147414059</v>
      </c>
      <c r="G2">
        <v>0.27808110193495472</v>
      </c>
      <c r="H2">
        <v>0.32263560018059551</v>
      </c>
      <c r="I2">
        <v>0.2228076372005674</v>
      </c>
      <c r="J2">
        <v>-0.18475044316773631</v>
      </c>
      <c r="K2">
        <v>-0.33580459939382012</v>
      </c>
      <c r="L2">
        <v>0.3684504376200729</v>
      </c>
      <c r="M2">
        <v>0.19599286648209049</v>
      </c>
      <c r="N2">
        <v>-9.5346952613929878E-2</v>
      </c>
      <c r="O2">
        <v>0.31859366646053228</v>
      </c>
      <c r="P2">
        <v>0.62797227768352348</v>
      </c>
      <c r="Q2">
        <v>0.29009355054193092</v>
      </c>
      <c r="R2">
        <v>-0.14170863414084209</v>
      </c>
      <c r="S2">
        <v>-4.5718275680052392E-2</v>
      </c>
      <c r="T2">
        <v>0.50164362742675872</v>
      </c>
      <c r="U2">
        <v>-0.57065706918276182</v>
      </c>
      <c r="V2">
        <v>0.18752734060297591</v>
      </c>
      <c r="W2">
        <v>0.16685127764088059</v>
      </c>
      <c r="X2">
        <v>-0.24870596158456351</v>
      </c>
      <c r="Y2">
        <v>0.1172203117184111</v>
      </c>
      <c r="Z2">
        <v>-0.1530285516888476</v>
      </c>
      <c r="AA2">
        <v>-6.1421364364836112E-2</v>
      </c>
      <c r="AB2">
        <v>-0.32343475013709622</v>
      </c>
      <c r="AC2">
        <v>0.34457042673274652</v>
      </c>
      <c r="AD2">
        <v>4.5883410211075448E-2</v>
      </c>
      <c r="AE2">
        <v>9.7896011185195184E-2</v>
      </c>
      <c r="AF2">
        <v>0.44568795455126797</v>
      </c>
      <c r="AG2">
        <v>-0.18783560432303281</v>
      </c>
      <c r="AH2">
        <v>-5.9325480471184709E-2</v>
      </c>
      <c r="AI2">
        <v>-1.2290414579515499E-2</v>
      </c>
      <c r="AJ2">
        <v>-4.1066930608341837E-2</v>
      </c>
      <c r="AK2">
        <v>0.1806769198173703</v>
      </c>
    </row>
    <row r="3" spans="1:37" x14ac:dyDescent="0.25">
      <c r="A3">
        <v>15</v>
      </c>
      <c r="B3" t="s">
        <v>38</v>
      </c>
      <c r="C3">
        <v>4</v>
      </c>
      <c r="D3">
        <v>0.47808942863923343</v>
      </c>
      <c r="E3">
        <v>0.1231157631963132</v>
      </c>
      <c r="F3">
        <v>0.4510605339058873</v>
      </c>
      <c r="G3">
        <v>-0.23190140173380711</v>
      </c>
      <c r="H3">
        <v>-0.1207776723834116</v>
      </c>
      <c r="I3">
        <v>-0.14532087974853961</v>
      </c>
      <c r="J3">
        <v>6.3929401046429454E-2</v>
      </c>
      <c r="K3">
        <v>0.57836429035191139</v>
      </c>
      <c r="L3">
        <v>-0.107640464753502</v>
      </c>
      <c r="M3">
        <v>6.3187991606515864E-2</v>
      </c>
      <c r="N3">
        <v>7.679479373673842E-2</v>
      </c>
      <c r="O3">
        <v>-0.16064811233855181</v>
      </c>
      <c r="P3">
        <v>8.696808523238217E-2</v>
      </c>
      <c r="Q3">
        <v>8.2123947255732743E-2</v>
      </c>
      <c r="R3">
        <v>0.10819316517693731</v>
      </c>
      <c r="S3">
        <v>-2.6566216916582751E-2</v>
      </c>
      <c r="T3">
        <v>-1.2581760818110911E-3</v>
      </c>
      <c r="U3">
        <v>0.27986580092453711</v>
      </c>
      <c r="V3">
        <v>-0.13604526667710659</v>
      </c>
      <c r="W3">
        <v>-0.3484021036174218</v>
      </c>
      <c r="X3">
        <v>-0.1656337509670032</v>
      </c>
      <c r="Y3">
        <v>0.28617374435210979</v>
      </c>
      <c r="Z3">
        <v>0.40398843331587347</v>
      </c>
      <c r="AA3">
        <v>2.296568813355248E-2</v>
      </c>
      <c r="AB3">
        <v>9.4808921567659674E-2</v>
      </c>
      <c r="AC3">
        <v>1.9295979106149459E-2</v>
      </c>
      <c r="AD3">
        <v>0.51403172482510606</v>
      </c>
      <c r="AE3">
        <v>9.2507606515236623E-2</v>
      </c>
      <c r="AF3">
        <v>4.9028562535921139E-2</v>
      </c>
      <c r="AG3">
        <v>1.7803728542866101E-2</v>
      </c>
      <c r="AH3">
        <v>6.7385276897217655E-2</v>
      </c>
      <c r="AI3">
        <v>-9.7652406164245253E-2</v>
      </c>
      <c r="AJ3">
        <v>2.823548904032561E-2</v>
      </c>
      <c r="AK3">
        <v>2.2517784714526371E-2</v>
      </c>
    </row>
    <row r="4" spans="1:37" x14ac:dyDescent="0.25">
      <c r="A4">
        <v>16</v>
      </c>
      <c r="B4" t="s">
        <v>34</v>
      </c>
      <c r="C4">
        <v>4</v>
      </c>
      <c r="D4">
        <v>0.65732796806949056</v>
      </c>
      <c r="E4">
        <v>0.1311531527482408</v>
      </c>
      <c r="F4">
        <v>0.28106473129303872</v>
      </c>
      <c r="G4">
        <v>6.4950759317779314E-2</v>
      </c>
      <c r="H4">
        <v>-6.5267834500710567E-2</v>
      </c>
      <c r="I4">
        <v>-0.30315876489857663</v>
      </c>
      <c r="J4">
        <v>-0.47657815354531252</v>
      </c>
      <c r="K4">
        <v>-0.22619880502971021</v>
      </c>
      <c r="L4">
        <v>-0.13854937014640861</v>
      </c>
      <c r="M4">
        <v>-0.52378028503430518</v>
      </c>
      <c r="N4">
        <v>0.18201217397288291</v>
      </c>
      <c r="O4">
        <v>-0.30796879408427641</v>
      </c>
      <c r="P4">
        <v>-6.8519592035994073E-2</v>
      </c>
      <c r="Q4">
        <v>0.1195956465026743</v>
      </c>
      <c r="R4">
        <v>-0.1181361152008237</v>
      </c>
      <c r="S4">
        <v>0.24384065483727449</v>
      </c>
      <c r="T4">
        <v>0.36220714064401582</v>
      </c>
      <c r="U4">
        <v>-4.0611624268881319E-2</v>
      </c>
      <c r="V4">
        <v>0.17615778048501601</v>
      </c>
      <c r="W4">
        <v>-0.1140035437324626</v>
      </c>
      <c r="X4">
        <v>0.1212637129520539</v>
      </c>
      <c r="Y4">
        <v>-8.9665542921737041E-4</v>
      </c>
      <c r="Z4">
        <v>-0.1676027502925419</v>
      </c>
      <c r="AA4">
        <v>0.24736002026380291</v>
      </c>
      <c r="AB4">
        <v>-0.15454301014378419</v>
      </c>
      <c r="AC4">
        <v>7.758414214216019E-3</v>
      </c>
      <c r="AD4">
        <v>-0.1174860774874882</v>
      </c>
      <c r="AE4">
        <v>0.20934748315906371</v>
      </c>
      <c r="AF4">
        <v>6.5412973367984462E-2</v>
      </c>
      <c r="AG4">
        <v>-1.383793513027508E-2</v>
      </c>
      <c r="AH4">
        <v>-4.4765411778506743E-2</v>
      </c>
      <c r="AI4">
        <v>7.2426745001522838E-2</v>
      </c>
      <c r="AJ4">
        <v>3.300058124048507E-2</v>
      </c>
      <c r="AK4">
        <v>-2.198971974072263E-2</v>
      </c>
    </row>
    <row r="5" spans="1:37" x14ac:dyDescent="0.25">
      <c r="A5">
        <v>17</v>
      </c>
      <c r="B5" t="s">
        <v>30</v>
      </c>
      <c r="C5">
        <v>3</v>
      </c>
      <c r="D5">
        <v>-0.72199583797179112</v>
      </c>
      <c r="E5">
        <v>0.32833113433355721</v>
      </c>
      <c r="F5">
        <v>4.4008413229289743E-2</v>
      </c>
      <c r="G5">
        <v>0.13557236453439411</v>
      </c>
      <c r="H5">
        <v>-0.44215698374534901</v>
      </c>
      <c r="I5">
        <v>-2.939756148800305E-2</v>
      </c>
      <c r="J5">
        <v>-0.163927063285151</v>
      </c>
      <c r="K5">
        <v>8.2727477735714261E-2</v>
      </c>
      <c r="L5">
        <v>-0.23939361817195121</v>
      </c>
      <c r="M5">
        <v>0.25446962544014817</v>
      </c>
      <c r="N5">
        <v>-0.21455336217652601</v>
      </c>
      <c r="O5">
        <v>2.0742309946302349E-2</v>
      </c>
      <c r="P5">
        <v>0.36455101359823161</v>
      </c>
      <c r="Q5">
        <v>0.21892661017321999</v>
      </c>
      <c r="R5">
        <v>0.1724520978985922</v>
      </c>
      <c r="S5">
        <v>0.24212290103122899</v>
      </c>
      <c r="T5">
        <v>-0.37680289281745821</v>
      </c>
      <c r="U5">
        <v>3.753327789754194E-2</v>
      </c>
      <c r="V5">
        <v>1.6809901646917629E-2</v>
      </c>
      <c r="W5">
        <v>-0.17953493474097851</v>
      </c>
      <c r="X5">
        <v>-0.12548847104007821</v>
      </c>
      <c r="Y5">
        <v>-4.0395787346175778E-2</v>
      </c>
      <c r="Z5">
        <v>0.2468201030425142</v>
      </c>
      <c r="AA5">
        <v>-1.488898049217853E-2</v>
      </c>
      <c r="AB5">
        <v>-0.34103672499439303</v>
      </c>
      <c r="AC5">
        <v>-7.0684024050836514E-2</v>
      </c>
      <c r="AD5">
        <v>-1.0608050345774139E-2</v>
      </c>
      <c r="AE5">
        <v>-4.7677581101996873E-2</v>
      </c>
      <c r="AF5">
        <v>-0.2087482408919567</v>
      </c>
      <c r="AG5">
        <v>-1.056827587293353E-3</v>
      </c>
      <c r="AH5">
        <v>7.108311403329852E-2</v>
      </c>
      <c r="AI5">
        <v>-0.1425806441620584</v>
      </c>
      <c r="AJ5">
        <v>9.5435045866533008E-2</v>
      </c>
      <c r="AK5">
        <v>0.15095509278727209</v>
      </c>
    </row>
    <row r="6" spans="1:37" x14ac:dyDescent="0.25">
      <c r="A6">
        <v>95</v>
      </c>
      <c r="B6" t="s">
        <v>36</v>
      </c>
      <c r="C6">
        <v>4</v>
      </c>
      <c r="D6">
        <v>0.6327129482559477</v>
      </c>
      <c r="E6">
        <v>0.31064367661666359</v>
      </c>
      <c r="F6">
        <v>-0.23132744391041701</v>
      </c>
      <c r="G6">
        <v>0.48814605961304952</v>
      </c>
      <c r="H6">
        <v>0.65104965457009056</v>
      </c>
      <c r="I6">
        <v>-4.3494147965523103E-2</v>
      </c>
      <c r="J6">
        <v>0.26093636863707043</v>
      </c>
      <c r="K6">
        <v>0.52798229952590092</v>
      </c>
      <c r="L6">
        <v>0.4521991822086841</v>
      </c>
      <c r="M6">
        <v>0.22429007307142959</v>
      </c>
      <c r="N6">
        <v>0.13423549146324729</v>
      </c>
      <c r="O6">
        <v>0.1419281975515862</v>
      </c>
      <c r="P6">
        <v>-6.7499209858137038E-2</v>
      </c>
      <c r="Q6">
        <v>0.27629478653986811</v>
      </c>
      <c r="R6">
        <v>0.27524446269285557</v>
      </c>
      <c r="S6">
        <v>0.16848198132683309</v>
      </c>
      <c r="T6">
        <v>-0.29513465787083049</v>
      </c>
      <c r="U6">
        <v>0.136398703944931</v>
      </c>
      <c r="V6">
        <v>0.42962715706822813</v>
      </c>
      <c r="W6">
        <v>0.13061905644933289</v>
      </c>
      <c r="X6">
        <v>0.37601948510087302</v>
      </c>
      <c r="Y6">
        <v>-0.12691992491669629</v>
      </c>
      <c r="Z6">
        <v>-0.15064092587955411</v>
      </c>
      <c r="AA6">
        <v>-0.25271420310576881</v>
      </c>
      <c r="AB6">
        <v>0.10018465387977921</v>
      </c>
      <c r="AC6">
        <v>-1.180977183517083E-2</v>
      </c>
      <c r="AD6">
        <v>0.17573706433433889</v>
      </c>
      <c r="AE6">
        <v>-6.5204334904979663E-2</v>
      </c>
      <c r="AF6">
        <v>-6.3410424366059565E-2</v>
      </c>
      <c r="AG6">
        <v>3.3537934676327909E-2</v>
      </c>
      <c r="AH6">
        <v>0.18418944291959929</v>
      </c>
      <c r="AI6">
        <v>2.1486836379434229E-2</v>
      </c>
      <c r="AJ6">
        <v>9.759022713306445E-2</v>
      </c>
      <c r="AK6">
        <v>9.0440955927993991E-2</v>
      </c>
    </row>
    <row r="7" spans="1:37" x14ac:dyDescent="0.25">
      <c r="A7">
        <v>111</v>
      </c>
      <c r="B7" t="s">
        <v>28</v>
      </c>
      <c r="C7">
        <v>2</v>
      </c>
      <c r="D7">
        <v>-0.84870595283631001</v>
      </c>
      <c r="E7">
        <v>-6.3302691377929571E-2</v>
      </c>
      <c r="F7">
        <v>0.32224626239705723</v>
      </c>
      <c r="G7">
        <v>6.7368214485866995E-2</v>
      </c>
      <c r="H7">
        <v>-0.36676865808504872</v>
      </c>
      <c r="I7">
        <v>5.3737863543789038E-2</v>
      </c>
      <c r="J7">
        <v>-0.196381741787579</v>
      </c>
      <c r="K7">
        <v>-1.690161502449573E-2</v>
      </c>
      <c r="L7">
        <v>8.7372172942256979E-2</v>
      </c>
      <c r="M7">
        <v>9.2173177678282189E-2</v>
      </c>
      <c r="N7">
        <v>-0.11087191052045201</v>
      </c>
      <c r="O7">
        <v>-0.103981079734611</v>
      </c>
      <c r="P7">
        <v>0.23513750988772761</v>
      </c>
      <c r="Q7">
        <v>0.27806816236426979</v>
      </c>
      <c r="R7">
        <v>-0.13705893596576749</v>
      </c>
      <c r="S7">
        <v>-0.1285786368643477</v>
      </c>
      <c r="T7">
        <v>0.13901221457344889</v>
      </c>
      <c r="U7">
        <v>-5.1555904081657666E-3</v>
      </c>
      <c r="V7">
        <v>0.15808798253509179</v>
      </c>
      <c r="W7">
        <v>0.15355296213395209</v>
      </c>
      <c r="X7">
        <v>-0.11587510961293331</v>
      </c>
      <c r="Y7">
        <v>4.8516331208789717E-2</v>
      </c>
      <c r="Z7">
        <v>0.1711787517747084</v>
      </c>
      <c r="AA7">
        <v>-0.10028756978814039</v>
      </c>
      <c r="AB7">
        <v>-1.283094380651306E-2</v>
      </c>
      <c r="AC7">
        <v>-0.15622337568333761</v>
      </c>
      <c r="AD7">
        <v>1.7092876218195049E-2</v>
      </c>
      <c r="AE7">
        <v>-2.2723279769995532E-2</v>
      </c>
      <c r="AF7">
        <v>2.6084842867448329E-2</v>
      </c>
      <c r="AG7">
        <v>1.2670417236376189E-2</v>
      </c>
      <c r="AH7">
        <v>-0.10524644868125541</v>
      </c>
      <c r="AI7">
        <v>-8.089849500483566E-2</v>
      </c>
      <c r="AJ7">
        <v>-1.2371430329880509E-2</v>
      </c>
      <c r="AK7">
        <v>-0.1145674796046377</v>
      </c>
    </row>
    <row r="8" spans="1:37" x14ac:dyDescent="0.25">
      <c r="A8">
        <v>142</v>
      </c>
      <c r="B8" t="s">
        <v>32</v>
      </c>
      <c r="C8">
        <v>3</v>
      </c>
      <c r="D8">
        <v>-0.79039708236821282</v>
      </c>
      <c r="E8">
        <v>0.43149230425972313</v>
      </c>
      <c r="F8">
        <v>0.78952130463965209</v>
      </c>
      <c r="G8">
        <v>3.1957655932262602E-2</v>
      </c>
      <c r="H8">
        <v>-0.29044182978576177</v>
      </c>
      <c r="I8">
        <v>-2.313834929595596E-2</v>
      </c>
      <c r="J8">
        <v>-0.27310383396019511</v>
      </c>
      <c r="K8">
        <v>-0.1308586844217183</v>
      </c>
      <c r="L8">
        <v>5.1546024702953129E-2</v>
      </c>
      <c r="M8">
        <v>-0.3485644627551483</v>
      </c>
      <c r="N8">
        <v>-0.237041683964238</v>
      </c>
      <c r="O8">
        <v>-3.6222090737886189E-4</v>
      </c>
      <c r="P8">
        <v>-0.1060913735394549</v>
      </c>
      <c r="Q8">
        <v>-0.14011090696768691</v>
      </c>
      <c r="R8">
        <v>8.577164389144494E-2</v>
      </c>
      <c r="S8">
        <v>-0.20779501840130171</v>
      </c>
      <c r="T8">
        <v>-0.12647689628686859</v>
      </c>
      <c r="U8">
        <v>8.3097833633645493E-2</v>
      </c>
      <c r="V8">
        <v>-0.31093829796211908</v>
      </c>
      <c r="W8">
        <v>0.18499556722473931</v>
      </c>
      <c r="X8">
        <v>0.23768868299687401</v>
      </c>
      <c r="Y8">
        <v>-0.14232390479763951</v>
      </c>
      <c r="Z8">
        <v>-0.24224745596826841</v>
      </c>
      <c r="AA8">
        <v>-7.3238337506280032E-2</v>
      </c>
      <c r="AB8">
        <v>2.832573422982208E-3</v>
      </c>
      <c r="AC8">
        <v>-0.19194731899973691</v>
      </c>
      <c r="AD8">
        <v>-2.4347145810047249E-3</v>
      </c>
      <c r="AE8">
        <v>-1.2056662101226769E-2</v>
      </c>
      <c r="AF8">
        <v>-0.10233686957984239</v>
      </c>
      <c r="AG8">
        <v>1.098948090899775E-2</v>
      </c>
      <c r="AH8">
        <v>-5.18603774282934E-2</v>
      </c>
      <c r="AI8">
        <v>5.3799746540266542E-2</v>
      </c>
      <c r="AJ8">
        <v>2.6850257948270069E-2</v>
      </c>
      <c r="AK8">
        <v>-5.212051441839745E-3</v>
      </c>
    </row>
    <row r="9" spans="1:37" x14ac:dyDescent="0.25">
      <c r="A9">
        <v>144</v>
      </c>
      <c r="B9" t="s">
        <v>29</v>
      </c>
      <c r="C9">
        <v>2</v>
      </c>
      <c r="D9">
        <v>-0.9222873417907016</v>
      </c>
      <c r="E9">
        <v>-0.60432351406210683</v>
      </c>
      <c r="F9">
        <v>-2.5269263473342619E-2</v>
      </c>
      <c r="G9">
        <v>-0.1704270488090667</v>
      </c>
      <c r="H9">
        <v>-0.29259658501888081</v>
      </c>
      <c r="I9">
        <v>0.1675479778792221</v>
      </c>
      <c r="J9">
        <v>-0.25449000685692169</v>
      </c>
      <c r="K9">
        <v>8.1391939329711949E-2</v>
      </c>
      <c r="L9">
        <v>0.2973466578799871</v>
      </c>
      <c r="M9">
        <v>-5.8457767747938323E-2</v>
      </c>
      <c r="N9">
        <v>-0.31804168194073951</v>
      </c>
      <c r="O9">
        <v>-6.5873871441979107E-2</v>
      </c>
      <c r="P9">
        <v>-3.10356959280748E-2</v>
      </c>
      <c r="Q9">
        <v>0.19004005253285</v>
      </c>
      <c r="R9">
        <v>-4.7948340654947352E-2</v>
      </c>
      <c r="S9">
        <v>0.15382388462463811</v>
      </c>
      <c r="T9">
        <v>-0.1246269570173696</v>
      </c>
      <c r="U9">
        <v>-0.18458586679116151</v>
      </c>
      <c r="V9">
        <v>0.10128471407012379</v>
      </c>
      <c r="W9">
        <v>-1.1938989164172671E-2</v>
      </c>
      <c r="X9">
        <v>0.15636334144942821</v>
      </c>
      <c r="Y9">
        <v>-1.8139499762693009E-2</v>
      </c>
      <c r="Z9">
        <v>-2.8498655905688199E-2</v>
      </c>
      <c r="AA9">
        <v>-3.7213034472367942E-2</v>
      </c>
      <c r="AB9">
        <v>6.1170483774116581E-2</v>
      </c>
      <c r="AC9">
        <v>-0.1009526889237352</v>
      </c>
      <c r="AD9">
        <v>-0.18643414948381609</v>
      </c>
      <c r="AE9">
        <v>-3.2243151825026531E-2</v>
      </c>
      <c r="AF9">
        <v>2.284032508357672E-3</v>
      </c>
      <c r="AG9">
        <v>0.1141509223173596</v>
      </c>
      <c r="AH9">
        <v>7.1962752771639688E-2</v>
      </c>
      <c r="AI9">
        <v>8.9292331346176201E-2</v>
      </c>
      <c r="AJ9">
        <v>-3.7937685185196177E-2</v>
      </c>
      <c r="AK9">
        <v>-9.0630733133740898E-2</v>
      </c>
    </row>
    <row r="10" spans="1:37" x14ac:dyDescent="0.25">
      <c r="A10">
        <v>153</v>
      </c>
      <c r="B10" t="s">
        <v>33</v>
      </c>
      <c r="C10">
        <v>2</v>
      </c>
      <c r="D10">
        <v>-0.95188446157979478</v>
      </c>
      <c r="E10">
        <v>1.8587451197424141E-2</v>
      </c>
      <c r="F10">
        <v>0.14202002167261241</v>
      </c>
      <c r="G10">
        <v>0.56697479860026001</v>
      </c>
      <c r="H10">
        <v>0.45128111116253922</v>
      </c>
      <c r="I10">
        <v>0.25821129228288792</v>
      </c>
      <c r="J10">
        <v>1.9142973931639039E-3</v>
      </c>
      <c r="K10">
        <v>-0.1206019515047073</v>
      </c>
      <c r="L10">
        <v>-0.20958975010682929</v>
      </c>
      <c r="M10">
        <v>1.9694068828822259E-2</v>
      </c>
      <c r="N10">
        <v>-0.26592981830796147</v>
      </c>
      <c r="O10">
        <v>0.29285614152932149</v>
      </c>
      <c r="P10">
        <v>3.9047380395681439E-3</v>
      </c>
      <c r="Q10">
        <v>-3.8901430704455398E-2</v>
      </c>
      <c r="R10">
        <v>-0.11644289098907711</v>
      </c>
      <c r="S10">
        <v>7.751783816159559E-2</v>
      </c>
      <c r="T10">
        <v>-0.13513048705738059</v>
      </c>
      <c r="U10">
        <v>7.6933597452239849E-2</v>
      </c>
      <c r="V10">
        <v>0.23617815226800951</v>
      </c>
      <c r="W10">
        <v>-0.1054676681894022</v>
      </c>
      <c r="X10">
        <v>0.23551304542964371</v>
      </c>
      <c r="Y10">
        <v>0.28549583477064111</v>
      </c>
      <c r="Z10">
        <v>0.2231052696541965</v>
      </c>
      <c r="AA10">
        <v>-3.5020638613175552E-2</v>
      </c>
      <c r="AB10">
        <v>-0.18006448277169959</v>
      </c>
      <c r="AC10">
        <v>-3.6839189137404982E-3</v>
      </c>
      <c r="AD10">
        <v>-6.5223044563340543E-3</v>
      </c>
      <c r="AE10">
        <v>3.5692631994368847E-2</v>
      </c>
      <c r="AF10">
        <v>0.17664757215752031</v>
      </c>
      <c r="AG10">
        <v>5.9002804636554433E-2</v>
      </c>
      <c r="AH10">
        <v>5.7186928345757518E-2</v>
      </c>
      <c r="AI10">
        <v>0.15842475372408699</v>
      </c>
      <c r="AJ10">
        <v>-0.17209677121876141</v>
      </c>
      <c r="AK10">
        <v>-6.1563864532920898E-2</v>
      </c>
    </row>
    <row r="11" spans="1:37" x14ac:dyDescent="0.25">
      <c r="A11">
        <v>157</v>
      </c>
      <c r="B11" t="s">
        <v>42</v>
      </c>
      <c r="C11">
        <v>3</v>
      </c>
      <c r="D11">
        <v>-0.2184583053400746</v>
      </c>
      <c r="E11">
        <v>0.61886224931291567</v>
      </c>
      <c r="F11">
        <v>0.12648606794278791</v>
      </c>
      <c r="G11">
        <v>-0.68507808179321206</v>
      </c>
      <c r="H11">
        <v>1.132538293373631</v>
      </c>
      <c r="I11">
        <v>-0.24659802073005541</v>
      </c>
      <c r="J11">
        <v>0.42391625771636882</v>
      </c>
      <c r="K11">
        <v>-0.1459754640355671</v>
      </c>
      <c r="L11">
        <v>-0.2320779691418762</v>
      </c>
      <c r="M11">
        <v>5.255318963614216E-2</v>
      </c>
      <c r="N11">
        <v>0.10018483690949299</v>
      </c>
      <c r="O11">
        <v>-0.33108721477904129</v>
      </c>
      <c r="P11">
        <v>-0.31818125696765309</v>
      </c>
      <c r="Q11">
        <v>-0.27590191486540749</v>
      </c>
      <c r="R11">
        <v>-0.57988955052157631</v>
      </c>
      <c r="S11">
        <v>3.1911816994349307E-2</v>
      </c>
      <c r="T11">
        <v>-0.2035524189128266</v>
      </c>
      <c r="U11">
        <v>-7.1341632655878034E-2</v>
      </c>
      <c r="V11">
        <v>-7.1363505531138488E-2</v>
      </c>
      <c r="W11">
        <v>0.22910767419327061</v>
      </c>
      <c r="X11">
        <v>-8.9838163449736993E-3</v>
      </c>
      <c r="Y11">
        <v>0.2368287169208082</v>
      </c>
      <c r="Z11">
        <v>0.14569245660247171</v>
      </c>
      <c r="AA11">
        <v>-3.4306039460338292E-2</v>
      </c>
      <c r="AB11">
        <v>-0.1507547009003648</v>
      </c>
      <c r="AC11">
        <v>-0.20978876354442161</v>
      </c>
      <c r="AD11">
        <v>0.24996518726464961</v>
      </c>
      <c r="AE11">
        <v>-0.33261983020319907</v>
      </c>
      <c r="AF11">
        <v>0.18804881781781951</v>
      </c>
      <c r="AG11">
        <v>0.22661115733242179</v>
      </c>
      <c r="AH11">
        <v>2.0278122862833351E-3</v>
      </c>
      <c r="AI11">
        <v>6.7085853781551963E-2</v>
      </c>
      <c r="AJ11">
        <v>8.937441446536637E-2</v>
      </c>
      <c r="AK11">
        <v>-2.891768241151502E-2</v>
      </c>
    </row>
    <row r="12" spans="1:37" x14ac:dyDescent="0.25">
      <c r="A12">
        <v>171</v>
      </c>
      <c r="B12" t="s">
        <v>37</v>
      </c>
      <c r="C12">
        <v>4</v>
      </c>
      <c r="D12">
        <v>0.83890356521574949</v>
      </c>
      <c r="E12">
        <v>0.2868945548579096</v>
      </c>
      <c r="F12">
        <v>0.20052708834620989</v>
      </c>
      <c r="G12">
        <v>0.28335142437666161</v>
      </c>
      <c r="H12">
        <v>0.62047164058341475</v>
      </c>
      <c r="I12">
        <v>0.33820232181283122</v>
      </c>
      <c r="J12">
        <v>0.21008079953867059</v>
      </c>
      <c r="K12">
        <v>-0.45943439828586191</v>
      </c>
      <c r="L12">
        <v>0.58611531212610313</v>
      </c>
      <c r="M12">
        <v>-0.2040927262002207</v>
      </c>
      <c r="N12">
        <v>-3.8328467673893238E-2</v>
      </c>
      <c r="O12">
        <v>-0.1747371643808418</v>
      </c>
      <c r="P12">
        <v>1.6018061626362039E-2</v>
      </c>
      <c r="Q12">
        <v>7.1467644328689975E-2</v>
      </c>
      <c r="R12">
        <v>9.2920674619606181E-2</v>
      </c>
      <c r="S12">
        <v>6.7009449299233236E-3</v>
      </c>
      <c r="T12">
        <v>0.1102881205917821</v>
      </c>
      <c r="U12">
        <v>-5.2411847374887632E-2</v>
      </c>
      <c r="V12">
        <v>0.18011870597888721</v>
      </c>
      <c r="W12">
        <v>6.042705772436259E-2</v>
      </c>
      <c r="X12">
        <v>6.3062484148129191E-2</v>
      </c>
      <c r="Y12">
        <v>9.8886594131120512E-2</v>
      </c>
      <c r="Z12">
        <v>0.34964740581739412</v>
      </c>
      <c r="AA12">
        <v>-0.1131018096572747</v>
      </c>
      <c r="AB12">
        <v>6.8055021513720781E-2</v>
      </c>
      <c r="AC12">
        <v>-0.14148221090082391</v>
      </c>
      <c r="AD12">
        <v>-6.1376243092962357E-2</v>
      </c>
      <c r="AE12">
        <v>-5.6084556113484903E-2</v>
      </c>
      <c r="AF12">
        <v>-0.1093992790224845</v>
      </c>
      <c r="AG12">
        <v>7.2171746148706195E-2</v>
      </c>
      <c r="AH12">
        <v>-0.118296978510987</v>
      </c>
      <c r="AI12">
        <v>0.104946670381699</v>
      </c>
      <c r="AJ12">
        <v>2.9682364557893991E-2</v>
      </c>
      <c r="AK12">
        <v>2.599882692836394E-2</v>
      </c>
    </row>
    <row r="13" spans="1:37" x14ac:dyDescent="0.25">
      <c r="A13">
        <v>180</v>
      </c>
      <c r="B13" t="s">
        <v>31</v>
      </c>
      <c r="C13">
        <v>3</v>
      </c>
      <c r="D13">
        <v>-0.78958998029209293</v>
      </c>
      <c r="E13">
        <v>0.24310967245808099</v>
      </c>
      <c r="F13">
        <v>0.69508337257198261</v>
      </c>
      <c r="G13">
        <v>0.57715108999158682</v>
      </c>
      <c r="H13">
        <v>-0.45039480542861371</v>
      </c>
      <c r="I13">
        <v>-7.6449091760144522E-3</v>
      </c>
      <c r="J13">
        <v>-0.22524956293660159</v>
      </c>
      <c r="K13">
        <v>0.49570304105310631</v>
      </c>
      <c r="L13">
        <v>0.23855141037761829</v>
      </c>
      <c r="M13">
        <v>7.7559321182532878E-2</v>
      </c>
      <c r="N13">
        <v>1.8204236441154611E-2</v>
      </c>
      <c r="O13">
        <v>-0.13892469085467921</v>
      </c>
      <c r="P13">
        <v>0.2587488982884007</v>
      </c>
      <c r="Q13">
        <v>-0.21831650139360639</v>
      </c>
      <c r="R13">
        <v>-0.2127204100363671</v>
      </c>
      <c r="S13">
        <v>0.1213798739852298</v>
      </c>
      <c r="T13">
        <v>0.13419786994861241</v>
      </c>
      <c r="U13">
        <v>0.15384944040849591</v>
      </c>
      <c r="V13">
        <v>-2.8257894502155159E-4</v>
      </c>
      <c r="W13">
        <v>-0.1160902392840639</v>
      </c>
      <c r="X13">
        <v>-4.7637341013997787E-3</v>
      </c>
      <c r="Y13">
        <v>0.1764954753027721</v>
      </c>
      <c r="Z13">
        <v>-7.0174874336698223E-2</v>
      </c>
      <c r="AA13">
        <v>0.14992490542720621</v>
      </c>
      <c r="AB13">
        <v>-4.5704434822211273E-2</v>
      </c>
      <c r="AC13">
        <v>-4.6741356648199478E-2</v>
      </c>
      <c r="AD13">
        <v>-9.7154033098185114E-2</v>
      </c>
      <c r="AE13">
        <v>-4.6853029665717548E-2</v>
      </c>
      <c r="AF13">
        <v>-0.26249518336266697</v>
      </c>
      <c r="AG13">
        <v>-0.22947451237683919</v>
      </c>
      <c r="AH13">
        <v>0.14484932241089771</v>
      </c>
      <c r="AI13">
        <v>1.256189660278541E-2</v>
      </c>
      <c r="AJ13">
        <v>4.4393476206429812E-2</v>
      </c>
      <c r="AK13">
        <v>0.14668770412650961</v>
      </c>
    </row>
    <row r="14" spans="1:37" x14ac:dyDescent="0.25">
      <c r="A14">
        <v>199</v>
      </c>
      <c r="B14" t="s">
        <v>40</v>
      </c>
      <c r="C14">
        <v>1</v>
      </c>
      <c r="D14">
        <v>0.52098811633806696</v>
      </c>
      <c r="E14">
        <v>-0.9789638738883083</v>
      </c>
      <c r="F14">
        <v>0.54711999030139635</v>
      </c>
      <c r="G14">
        <v>-0.36528949968544078</v>
      </c>
      <c r="H14">
        <v>3.9661823529206233E-2</v>
      </c>
      <c r="I14">
        <v>0.30366795253845819</v>
      </c>
      <c r="J14">
        <v>9.6749793167624318E-2</v>
      </c>
      <c r="K14">
        <v>0.39912997121550642</v>
      </c>
      <c r="L14">
        <v>0.12988076898101961</v>
      </c>
      <c r="M14">
        <v>2.105523543657192E-4</v>
      </c>
      <c r="N14">
        <v>-0.25723285451593281</v>
      </c>
      <c r="O14">
        <v>3.4860038965546493E-2</v>
      </c>
      <c r="P14">
        <v>0.1051024177356398</v>
      </c>
      <c r="Q14">
        <v>-1.9422804457505199E-2</v>
      </c>
      <c r="R14">
        <v>-3.0071101535128229E-2</v>
      </c>
      <c r="S14">
        <v>9.8540927942984732E-2</v>
      </c>
      <c r="T14">
        <v>0.14613203879958819</v>
      </c>
      <c r="U14">
        <v>-0.1643537165127813</v>
      </c>
      <c r="V14">
        <v>-6.7051501317475087E-2</v>
      </c>
      <c r="W14">
        <v>-0.1204376347214557</v>
      </c>
      <c r="X14">
        <v>0.18151566876131561</v>
      </c>
      <c r="Y14">
        <v>-0.11082603602198481</v>
      </c>
      <c r="Z14">
        <v>-0.12379852113684139</v>
      </c>
      <c r="AA14">
        <v>-4.6525757685860557E-2</v>
      </c>
      <c r="AB14">
        <v>0.22660020572005579</v>
      </c>
      <c r="AC14">
        <v>-0.12922416317913421</v>
      </c>
      <c r="AD14">
        <v>-5.0058988725984271E-2</v>
      </c>
      <c r="AE14">
        <v>4.4178718991689757E-2</v>
      </c>
      <c r="AF14">
        <v>-8.0470938168626716E-2</v>
      </c>
      <c r="AG14">
        <v>2.5627790131643791E-2</v>
      </c>
      <c r="AH14">
        <v>0.1263055712073034</v>
      </c>
      <c r="AI14">
        <v>1.18401641788685E-2</v>
      </c>
      <c r="AJ14">
        <v>-6.730679609443932E-2</v>
      </c>
      <c r="AK14">
        <v>7.1506926948394639E-2</v>
      </c>
    </row>
    <row r="15" spans="1:37" x14ac:dyDescent="0.25">
      <c r="A15">
        <v>261</v>
      </c>
      <c r="B15" t="s">
        <v>35</v>
      </c>
      <c r="C15">
        <v>4</v>
      </c>
      <c r="D15">
        <v>0.61420505864692565</v>
      </c>
      <c r="E15">
        <v>-0.25554265149247363</v>
      </c>
      <c r="F15">
        <v>-0.60905470070236056</v>
      </c>
      <c r="G15">
        <v>0.18829930391777491</v>
      </c>
      <c r="H15">
        <v>-3.6896335911106477E-2</v>
      </c>
      <c r="I15">
        <v>-5.100264487306818E-2</v>
      </c>
      <c r="J15">
        <v>-0.2727007214871584</v>
      </c>
      <c r="K15">
        <v>0.28730533362403471</v>
      </c>
      <c r="L15">
        <v>-9.3429403411647988E-2</v>
      </c>
      <c r="M15">
        <v>-0.13195657977288711</v>
      </c>
      <c r="N15">
        <v>-0.14749742100842861</v>
      </c>
      <c r="O15">
        <v>-0.29500974144303099</v>
      </c>
      <c r="P15">
        <v>0.1329179129252894</v>
      </c>
      <c r="Q15">
        <v>0.21754100230113421</v>
      </c>
      <c r="R15">
        <v>0.1305717013684399</v>
      </c>
      <c r="S15">
        <v>-6.4096913162133673E-2</v>
      </c>
      <c r="T15">
        <v>-7.490048305771542E-2</v>
      </c>
      <c r="U15">
        <v>0.28512711371522698</v>
      </c>
      <c r="V15">
        <v>-0.2067183437783989</v>
      </c>
      <c r="W15">
        <v>-0.19151208347517801</v>
      </c>
      <c r="X15">
        <v>6.8773610258694814E-2</v>
      </c>
      <c r="Y15">
        <v>6.1160787372936481E-2</v>
      </c>
      <c r="Z15">
        <v>-0.13062322171116919</v>
      </c>
      <c r="AA15">
        <v>5.1032350325793008E-2</v>
      </c>
      <c r="AB15">
        <v>0.14781959612110701</v>
      </c>
      <c r="AC15">
        <v>-8.4618595053805118E-2</v>
      </c>
      <c r="AD15">
        <v>-3.6643279436722027E-2</v>
      </c>
      <c r="AE15">
        <v>-0.14884212765515131</v>
      </c>
      <c r="AF15">
        <v>-7.9519890302077595E-2</v>
      </c>
      <c r="AG15">
        <v>-2.276423672921251E-2</v>
      </c>
      <c r="AH15">
        <v>2.7092892804106539E-2</v>
      </c>
      <c r="AI15">
        <v>0.29378397628245179</v>
      </c>
      <c r="AJ15">
        <v>3.4813988667062278E-2</v>
      </c>
      <c r="AK15">
        <v>7.7889804613374261E-2</v>
      </c>
    </row>
    <row r="16" spans="1:37" x14ac:dyDescent="0.25">
      <c r="A16">
        <v>283</v>
      </c>
      <c r="B16" t="s">
        <v>39</v>
      </c>
      <c r="C16">
        <v>4</v>
      </c>
      <c r="D16">
        <v>1.293881876912752</v>
      </c>
      <c r="E16">
        <v>0.41091753039398637</v>
      </c>
      <c r="F16">
        <v>9.763576464552999E-2</v>
      </c>
      <c r="G16">
        <v>-0.57480362203634705</v>
      </c>
      <c r="H16">
        <v>-0.1166790531471362</v>
      </c>
      <c r="I16">
        <v>9.5464462776219935E-2</v>
      </c>
      <c r="J16">
        <v>-0.20741013056475219</v>
      </c>
      <c r="K16">
        <v>-0.1285686064075223</v>
      </c>
      <c r="L16">
        <v>0.66315677446244214</v>
      </c>
      <c r="M16">
        <v>-6.6138746450288249E-2</v>
      </c>
      <c r="N16">
        <v>-0.3083860022194006</v>
      </c>
      <c r="O16">
        <v>0.18034564906536779</v>
      </c>
      <c r="P16">
        <v>-0.42953231394578612</v>
      </c>
      <c r="Q16">
        <v>0.14624167746765149</v>
      </c>
      <c r="R16">
        <v>8.0062158820362689E-2</v>
      </c>
      <c r="S16">
        <v>-1.346309489782003E-2</v>
      </c>
      <c r="T16">
        <v>2.9330237618269861E-2</v>
      </c>
      <c r="U16">
        <v>-0.18189318414940431</v>
      </c>
      <c r="V16">
        <v>-0.21770309365010371</v>
      </c>
      <c r="W16">
        <v>0.10316299428570851</v>
      </c>
      <c r="X16">
        <v>0.1275283857843317</v>
      </c>
      <c r="Y16">
        <v>0.50853223055560204</v>
      </c>
      <c r="Z16">
        <v>0.11027204293204521</v>
      </c>
      <c r="AA16">
        <v>-0.29987776676093109</v>
      </c>
      <c r="AB16">
        <v>2.020045428026418E-2</v>
      </c>
      <c r="AC16">
        <v>0.23291365736634531</v>
      </c>
      <c r="AD16">
        <v>-0.17098894411235949</v>
      </c>
      <c r="AE16">
        <v>-0.15772970180058879</v>
      </c>
      <c r="AF16">
        <v>-8.9665750016381607E-2</v>
      </c>
      <c r="AG16">
        <v>-7.0142591153653407E-3</v>
      </c>
      <c r="AH16">
        <v>-0.21680135028360109</v>
      </c>
      <c r="AI16">
        <v>2.797828920111509E-2</v>
      </c>
      <c r="AJ16">
        <v>7.3149542632319833E-3</v>
      </c>
      <c r="AK16">
        <v>4.3885229326790308E-2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13</v>
      </c>
      <c r="C1" s="1" t="s">
        <v>6</v>
      </c>
      <c r="D1" s="1" t="s">
        <v>8</v>
      </c>
      <c r="E1" s="1" t="s">
        <v>9</v>
      </c>
      <c r="F1" s="1" t="s">
        <v>4</v>
      </c>
      <c r="G1" s="1" t="s">
        <v>7</v>
      </c>
      <c r="H1" s="1" t="s">
        <v>10</v>
      </c>
      <c r="I1" s="1" t="s">
        <v>12</v>
      </c>
      <c r="J1" s="1" t="s">
        <v>1</v>
      </c>
      <c r="K1" s="1" t="s">
        <v>2</v>
      </c>
      <c r="L1" s="1" t="s">
        <v>3</v>
      </c>
      <c r="M1" s="1" t="s">
        <v>5</v>
      </c>
      <c r="N1" s="1" t="s">
        <v>11</v>
      </c>
      <c r="O1" s="1" t="s">
        <v>14</v>
      </c>
      <c r="P1" s="1" t="s">
        <v>15</v>
      </c>
    </row>
    <row r="2" spans="1:16" x14ac:dyDescent="0.25">
      <c r="A2" s="1" t="s">
        <v>13</v>
      </c>
      <c r="B2">
        <v>0</v>
      </c>
      <c r="C2">
        <v>2.0473465573586669</v>
      </c>
      <c r="D2">
        <v>1.8135547977334221</v>
      </c>
      <c r="E2">
        <v>2.3799830950537082</v>
      </c>
      <c r="F2">
        <v>2.3733422022893489</v>
      </c>
      <c r="G2">
        <v>2.2957751854378339</v>
      </c>
      <c r="H2">
        <v>2.6938916819209142</v>
      </c>
      <c r="I2">
        <v>2.2945349432916089</v>
      </c>
      <c r="J2">
        <v>2.489788798094958</v>
      </c>
      <c r="K2">
        <v>1.7322346370501831</v>
      </c>
      <c r="L2">
        <v>1.958798867495954</v>
      </c>
      <c r="M2">
        <v>2.2095736250627822</v>
      </c>
      <c r="N2">
        <v>2.0559669801156799</v>
      </c>
      <c r="O2">
        <v>1.796756808732455</v>
      </c>
      <c r="P2">
        <v>2.193421516162295</v>
      </c>
    </row>
    <row r="3" spans="1:16" x14ac:dyDescent="0.25">
      <c r="A3" s="1" t="s">
        <v>6</v>
      </c>
      <c r="B3">
        <v>2.0473465573586669</v>
      </c>
      <c r="C3">
        <v>0</v>
      </c>
      <c r="D3">
        <v>1.0777703180318881</v>
      </c>
      <c r="E3">
        <v>1.437360804981574</v>
      </c>
      <c r="F3">
        <v>1.181756377155895</v>
      </c>
      <c r="G3">
        <v>1.324080238617545</v>
      </c>
      <c r="H3">
        <v>2.4017672664785139</v>
      </c>
      <c r="I3">
        <v>1.307970617681786</v>
      </c>
      <c r="J3">
        <v>2.7431226083406899</v>
      </c>
      <c r="K3">
        <v>1.8849846617245309</v>
      </c>
      <c r="L3">
        <v>2.009659971198674</v>
      </c>
      <c r="M3">
        <v>2.426944136894539</v>
      </c>
      <c r="N3">
        <v>2.2645891680606489</v>
      </c>
      <c r="O3">
        <v>2.0682200756113609</v>
      </c>
      <c r="P3">
        <v>2.6687843642126352</v>
      </c>
    </row>
    <row r="4" spans="1:16" x14ac:dyDescent="0.25">
      <c r="A4" s="1" t="s">
        <v>8</v>
      </c>
      <c r="B4">
        <v>1.8135547977334221</v>
      </c>
      <c r="C4">
        <v>1.0777703180318881</v>
      </c>
      <c r="D4">
        <v>0</v>
      </c>
      <c r="E4">
        <v>1.583206648218334</v>
      </c>
      <c r="F4">
        <v>1.543253598661221</v>
      </c>
      <c r="G4">
        <v>1.6554882754484459</v>
      </c>
      <c r="H4">
        <v>2.6016925320797841</v>
      </c>
      <c r="I4">
        <v>1.7462092748200431</v>
      </c>
      <c r="J4">
        <v>3.0749705045991438</v>
      </c>
      <c r="K4">
        <v>2.235107052864135</v>
      </c>
      <c r="L4">
        <v>2.208672400844927</v>
      </c>
      <c r="M4">
        <v>2.4898082239251922</v>
      </c>
      <c r="N4">
        <v>2.4735723961930418</v>
      </c>
      <c r="O4">
        <v>1.9959154152502281</v>
      </c>
      <c r="P4">
        <v>2.7143326113759918</v>
      </c>
    </row>
    <row r="5" spans="1:16" x14ac:dyDescent="0.25">
      <c r="A5" s="1" t="s">
        <v>9</v>
      </c>
      <c r="B5">
        <v>2.3799830950537082</v>
      </c>
      <c r="C5">
        <v>1.437360804981574</v>
      </c>
      <c r="D5">
        <v>1.583206648218334</v>
      </c>
      <c r="E5">
        <v>0</v>
      </c>
      <c r="F5">
        <v>1.575497471352046</v>
      </c>
      <c r="G5">
        <v>1.7447530696791369</v>
      </c>
      <c r="H5">
        <v>2.2182528844364602</v>
      </c>
      <c r="I5">
        <v>1.7412784705982309</v>
      </c>
      <c r="J5">
        <v>2.88884839561553</v>
      </c>
      <c r="K5">
        <v>2.263852509860623</v>
      </c>
      <c r="L5">
        <v>2.308766294569891</v>
      </c>
      <c r="M5">
        <v>2.2582323059593601</v>
      </c>
      <c r="N5">
        <v>2.2407815840341052</v>
      </c>
      <c r="O5">
        <v>2.2659677677206069</v>
      </c>
      <c r="P5">
        <v>2.9677594375354861</v>
      </c>
    </row>
    <row r="6" spans="1:16" x14ac:dyDescent="0.25">
      <c r="A6" s="1" t="s">
        <v>4</v>
      </c>
      <c r="B6">
        <v>2.3733422022893489</v>
      </c>
      <c r="C6">
        <v>1.181756377155895</v>
      </c>
      <c r="D6">
        <v>1.543253598661221</v>
      </c>
      <c r="E6">
        <v>1.575497471352046</v>
      </c>
      <c r="F6">
        <v>0</v>
      </c>
      <c r="G6">
        <v>1.609499118718329</v>
      </c>
      <c r="H6">
        <v>2.518034719528274</v>
      </c>
      <c r="I6">
        <v>1.470034073966157</v>
      </c>
      <c r="J6">
        <v>2.8570779467398828</v>
      </c>
      <c r="K6">
        <v>1.8735012697186311</v>
      </c>
      <c r="L6">
        <v>2.178965593742312</v>
      </c>
      <c r="M6">
        <v>2.342368064834158</v>
      </c>
      <c r="N6">
        <v>2.4618412030107488</v>
      </c>
      <c r="O6">
        <v>2.015947433453698</v>
      </c>
      <c r="P6">
        <v>2.7616396092668398</v>
      </c>
    </row>
    <row r="7" spans="1:16" x14ac:dyDescent="0.25">
      <c r="A7" s="1" t="s">
        <v>7</v>
      </c>
      <c r="B7">
        <v>2.2957751854378339</v>
      </c>
      <c r="C7">
        <v>1.324080238617545</v>
      </c>
      <c r="D7">
        <v>1.6554882754484459</v>
      </c>
      <c r="E7">
        <v>1.7447530696791369</v>
      </c>
      <c r="F7">
        <v>1.609499118718329</v>
      </c>
      <c r="G7">
        <v>0</v>
      </c>
      <c r="H7">
        <v>2.3832262068588559</v>
      </c>
      <c r="I7">
        <v>1.4424798990255421</v>
      </c>
      <c r="J7">
        <v>3.0194528678567738</v>
      </c>
      <c r="K7">
        <v>2.1264996456042931</v>
      </c>
      <c r="L7">
        <v>2.0385978714642712</v>
      </c>
      <c r="M7">
        <v>2.5860042064783881</v>
      </c>
      <c r="N7">
        <v>2.380203013950501</v>
      </c>
      <c r="O7">
        <v>2.3355057840064259</v>
      </c>
      <c r="P7">
        <v>2.6341855213782268</v>
      </c>
    </row>
    <row r="8" spans="1:16" x14ac:dyDescent="0.25">
      <c r="A8" s="1" t="s">
        <v>10</v>
      </c>
      <c r="B8">
        <v>2.6938916819209142</v>
      </c>
      <c r="C8">
        <v>2.4017672664785139</v>
      </c>
      <c r="D8">
        <v>2.6016925320797841</v>
      </c>
      <c r="E8">
        <v>2.2182528844364602</v>
      </c>
      <c r="F8">
        <v>2.518034719528274</v>
      </c>
      <c r="G8">
        <v>2.3832262068588559</v>
      </c>
      <c r="H8">
        <v>0</v>
      </c>
      <c r="I8">
        <v>2.757681048583712</v>
      </c>
      <c r="J8">
        <v>2.9767916725470092</v>
      </c>
      <c r="K8">
        <v>2.270305420339997</v>
      </c>
      <c r="L8">
        <v>2.4447819717471431</v>
      </c>
      <c r="M8">
        <v>2.4445253382026122</v>
      </c>
      <c r="N8">
        <v>2.2377856783839758</v>
      </c>
      <c r="O8">
        <v>2.6072491274267868</v>
      </c>
      <c r="P8">
        <v>2.680706999208295</v>
      </c>
    </row>
    <row r="9" spans="1:16" x14ac:dyDescent="0.25">
      <c r="A9" s="1" t="s">
        <v>12</v>
      </c>
      <c r="B9">
        <v>2.2945349432916089</v>
      </c>
      <c r="C9">
        <v>1.307970617681786</v>
      </c>
      <c r="D9">
        <v>1.7462092748200431</v>
      </c>
      <c r="E9">
        <v>1.7412784705982309</v>
      </c>
      <c r="F9">
        <v>1.470034073966157</v>
      </c>
      <c r="G9">
        <v>1.4424798990255421</v>
      </c>
      <c r="H9">
        <v>2.757681048583712</v>
      </c>
      <c r="I9">
        <v>0</v>
      </c>
      <c r="J9">
        <v>2.970586548159547</v>
      </c>
      <c r="K9">
        <v>1.979083313402783</v>
      </c>
      <c r="L9">
        <v>2.157444646586137</v>
      </c>
      <c r="M9">
        <v>2.4791495409684199</v>
      </c>
      <c r="N9">
        <v>2.5298607985674439</v>
      </c>
      <c r="O9">
        <v>2.2852007245254429</v>
      </c>
      <c r="P9">
        <v>2.930765043786423</v>
      </c>
    </row>
    <row r="10" spans="1:16" x14ac:dyDescent="0.25">
      <c r="A10" s="1" t="s">
        <v>1</v>
      </c>
      <c r="B10">
        <v>2.489788798094958</v>
      </c>
      <c r="C10">
        <v>2.7431226083406899</v>
      </c>
      <c r="D10">
        <v>3.0749705045991438</v>
      </c>
      <c r="E10">
        <v>2.88884839561553</v>
      </c>
      <c r="F10">
        <v>2.8570779467398828</v>
      </c>
      <c r="G10">
        <v>3.0194528678567738</v>
      </c>
      <c r="H10">
        <v>2.9767916725470092</v>
      </c>
      <c r="I10">
        <v>2.9705865481595461</v>
      </c>
      <c r="J10">
        <v>0</v>
      </c>
      <c r="K10">
        <v>2.4144556379500459</v>
      </c>
      <c r="L10">
        <v>2.016247920912444</v>
      </c>
      <c r="M10">
        <v>2.2538765256166449</v>
      </c>
      <c r="N10">
        <v>1.7732557432736991</v>
      </c>
      <c r="O10">
        <v>2.365725012003105</v>
      </c>
      <c r="P10">
        <v>1.9924709257389179</v>
      </c>
    </row>
    <row r="11" spans="1:16" x14ac:dyDescent="0.25">
      <c r="A11" s="1" t="s">
        <v>2</v>
      </c>
      <c r="B11">
        <v>1.7322346370501831</v>
      </c>
      <c r="C11">
        <v>1.8849846617245309</v>
      </c>
      <c r="D11">
        <v>2.235107052864135</v>
      </c>
      <c r="E11">
        <v>2.263852509860623</v>
      </c>
      <c r="F11">
        <v>1.8735012697186311</v>
      </c>
      <c r="G11">
        <v>2.1264996456042931</v>
      </c>
      <c r="H11">
        <v>2.270305420339997</v>
      </c>
      <c r="I11">
        <v>1.979083313402783</v>
      </c>
      <c r="J11">
        <v>2.4144556379500459</v>
      </c>
      <c r="K11">
        <v>0</v>
      </c>
      <c r="L11">
        <v>1.758815110567262</v>
      </c>
      <c r="M11">
        <v>1.986674609411845</v>
      </c>
      <c r="N11">
        <v>1.980328397953113</v>
      </c>
      <c r="O11">
        <v>1.668458410039074</v>
      </c>
      <c r="P11">
        <v>2.0543943981079482</v>
      </c>
    </row>
    <row r="12" spans="1:16" x14ac:dyDescent="0.25">
      <c r="A12" s="1" t="s">
        <v>3</v>
      </c>
      <c r="B12">
        <v>1.958798867495954</v>
      </c>
      <c r="C12">
        <v>2.009659971198674</v>
      </c>
      <c r="D12">
        <v>2.2086724008449261</v>
      </c>
      <c r="E12">
        <v>2.308766294569891</v>
      </c>
      <c r="F12">
        <v>2.178965593742312</v>
      </c>
      <c r="G12">
        <v>2.0385978714642712</v>
      </c>
      <c r="H12">
        <v>2.4447819717471431</v>
      </c>
      <c r="I12">
        <v>2.157444646586137</v>
      </c>
      <c r="J12">
        <v>2.016247920912444</v>
      </c>
      <c r="K12">
        <v>1.758815110567262</v>
      </c>
      <c r="L12">
        <v>0</v>
      </c>
      <c r="M12">
        <v>2.1683955547858549</v>
      </c>
      <c r="N12">
        <v>1.7377584037856051</v>
      </c>
      <c r="O12">
        <v>1.6174134997959979</v>
      </c>
      <c r="P12">
        <v>1.996588803042687</v>
      </c>
    </row>
    <row r="13" spans="1:16" x14ac:dyDescent="0.25">
      <c r="A13" s="1" t="s">
        <v>5</v>
      </c>
      <c r="B13">
        <v>2.2095736250627822</v>
      </c>
      <c r="C13">
        <v>2.426944136894539</v>
      </c>
      <c r="D13">
        <v>2.4898082239251922</v>
      </c>
      <c r="E13">
        <v>2.2582323059593601</v>
      </c>
      <c r="F13">
        <v>2.342368064834158</v>
      </c>
      <c r="G13">
        <v>2.5860042064783881</v>
      </c>
      <c r="H13">
        <v>2.4445253382026122</v>
      </c>
      <c r="I13">
        <v>2.4791495409684199</v>
      </c>
      <c r="J13">
        <v>2.2538765256166449</v>
      </c>
      <c r="K13">
        <v>1.986674609411845</v>
      </c>
      <c r="L13">
        <v>2.1683955547858549</v>
      </c>
      <c r="M13">
        <v>0</v>
      </c>
      <c r="N13">
        <v>1.645133935889765</v>
      </c>
      <c r="O13">
        <v>1.775065134530053</v>
      </c>
      <c r="P13">
        <v>2.2406705015562629</v>
      </c>
    </row>
    <row r="14" spans="1:16" x14ac:dyDescent="0.25">
      <c r="A14" s="1" t="s">
        <v>11</v>
      </c>
      <c r="B14">
        <v>2.0559669801156799</v>
      </c>
      <c r="C14">
        <v>2.2645891680606489</v>
      </c>
      <c r="D14">
        <v>2.4735723961930418</v>
      </c>
      <c r="E14">
        <v>2.2407815840341052</v>
      </c>
      <c r="F14">
        <v>2.4618412030107488</v>
      </c>
      <c r="G14">
        <v>2.380203013950501</v>
      </c>
      <c r="H14">
        <v>2.2377856783839758</v>
      </c>
      <c r="I14">
        <v>2.5298607985674439</v>
      </c>
      <c r="J14">
        <v>1.7732557432736991</v>
      </c>
      <c r="K14">
        <v>1.980328397953113</v>
      </c>
      <c r="L14">
        <v>1.7377584037856051</v>
      </c>
      <c r="M14">
        <v>1.645133935889765</v>
      </c>
      <c r="N14">
        <v>0</v>
      </c>
      <c r="O14">
        <v>1.9044502383269111</v>
      </c>
      <c r="P14">
        <v>1.7086903730986349</v>
      </c>
    </row>
    <row r="15" spans="1:16" x14ac:dyDescent="0.25">
      <c r="A15" s="1" t="s">
        <v>14</v>
      </c>
      <c r="B15">
        <v>1.796756808732455</v>
      </c>
      <c r="C15">
        <v>2.0682200756113609</v>
      </c>
      <c r="D15">
        <v>1.9959154152502281</v>
      </c>
      <c r="E15">
        <v>2.2659677677206069</v>
      </c>
      <c r="F15">
        <v>2.015947433453698</v>
      </c>
      <c r="G15">
        <v>2.3355057840064259</v>
      </c>
      <c r="H15">
        <v>2.6072491274267868</v>
      </c>
      <c r="I15">
        <v>2.2852007245254429</v>
      </c>
      <c r="J15">
        <v>2.365725012003105</v>
      </c>
      <c r="K15">
        <v>1.668458410039074</v>
      </c>
      <c r="L15">
        <v>1.6174134997959979</v>
      </c>
      <c r="M15">
        <v>1.775065134530053</v>
      </c>
      <c r="N15">
        <v>1.9044502383269111</v>
      </c>
      <c r="O15">
        <v>0</v>
      </c>
      <c r="P15">
        <v>2.077589957205308</v>
      </c>
    </row>
    <row r="16" spans="1:16" x14ac:dyDescent="0.25">
      <c r="A16" s="1" t="s">
        <v>15</v>
      </c>
      <c r="B16">
        <v>2.193421516162295</v>
      </c>
      <c r="C16">
        <v>2.6687843642126352</v>
      </c>
      <c r="D16">
        <v>2.7143326113759918</v>
      </c>
      <c r="E16">
        <v>2.9677594375354861</v>
      </c>
      <c r="F16">
        <v>2.7616396092668398</v>
      </c>
      <c r="G16">
        <v>2.6341855213782268</v>
      </c>
      <c r="H16">
        <v>2.680706999208295</v>
      </c>
      <c r="I16">
        <v>2.930765043786423</v>
      </c>
      <c r="J16">
        <v>1.9924709257389179</v>
      </c>
      <c r="K16">
        <v>2.0543943981079482</v>
      </c>
      <c r="L16">
        <v>1.996588803042687</v>
      </c>
      <c r="M16">
        <v>2.2406705015562629</v>
      </c>
      <c r="N16">
        <v>1.7086903730986349</v>
      </c>
      <c r="O16">
        <v>2.077589957205308</v>
      </c>
      <c r="P16">
        <v>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13</v>
      </c>
      <c r="C1" s="1" t="s">
        <v>6</v>
      </c>
      <c r="D1" s="1" t="s">
        <v>8</v>
      </c>
      <c r="E1" s="1" t="s">
        <v>9</v>
      </c>
      <c r="F1" s="1" t="s">
        <v>4</v>
      </c>
      <c r="G1" s="1" t="s">
        <v>7</v>
      </c>
      <c r="H1" s="1" t="s">
        <v>10</v>
      </c>
      <c r="I1" s="1" t="s">
        <v>12</v>
      </c>
      <c r="J1" s="1" t="s">
        <v>1</v>
      </c>
      <c r="K1" s="1" t="s">
        <v>2</v>
      </c>
      <c r="L1" s="1" t="s">
        <v>3</v>
      </c>
      <c r="M1" s="1" t="s">
        <v>5</v>
      </c>
      <c r="N1" s="1" t="s">
        <v>11</v>
      </c>
      <c r="O1" s="1" t="s">
        <v>14</v>
      </c>
      <c r="P1" s="1" t="s">
        <v>15</v>
      </c>
    </row>
    <row r="2" spans="1:16" x14ac:dyDescent="0.25">
      <c r="A2" s="1" t="s">
        <v>13</v>
      </c>
      <c r="B2">
        <v>0</v>
      </c>
      <c r="C2">
        <v>0.66581014494171897</v>
      </c>
      <c r="D2">
        <v>0.58977957512793722</v>
      </c>
      <c r="E2">
        <v>0.77398566636461585</v>
      </c>
      <c r="F2">
        <v>0.77182600572578186</v>
      </c>
      <c r="G2">
        <v>0.74660071763423741</v>
      </c>
      <c r="H2">
        <v>0.87607073885480791</v>
      </c>
      <c r="I2">
        <v>0.74619738298619109</v>
      </c>
      <c r="J2">
        <v>0.80969518061101808</v>
      </c>
      <c r="K2">
        <v>0.56333374074949016</v>
      </c>
      <c r="L2">
        <v>0.63701387202453974</v>
      </c>
      <c r="M2">
        <v>0.71856742097460335</v>
      </c>
      <c r="N2">
        <v>0.66861356134656569</v>
      </c>
      <c r="O2">
        <v>0.58431676207791183</v>
      </c>
      <c r="P2">
        <v>0.71331465224842272</v>
      </c>
    </row>
    <row r="3" spans="1:16" x14ac:dyDescent="0.25">
      <c r="A3" s="1" t="s">
        <v>6</v>
      </c>
      <c r="B3">
        <v>0.66581014494171897</v>
      </c>
      <c r="C3">
        <v>0</v>
      </c>
      <c r="D3">
        <v>0.35049777434284279</v>
      </c>
      <c r="E3">
        <v>0.46743889179806941</v>
      </c>
      <c r="F3">
        <v>0.38431470330800782</v>
      </c>
      <c r="G3">
        <v>0.43059932985931287</v>
      </c>
      <c r="H3">
        <v>0.78107001770789675</v>
      </c>
      <c r="I3">
        <v>0.42536037848997021</v>
      </c>
      <c r="J3">
        <v>0.89208094979704067</v>
      </c>
      <c r="K3">
        <v>0.61300902200694751</v>
      </c>
      <c r="L3">
        <v>0.65355422700571719</v>
      </c>
      <c r="M3">
        <v>0.78925769637940546</v>
      </c>
      <c r="N3">
        <v>0.73645882608420765</v>
      </c>
      <c r="O3">
        <v>0.67259834607128233</v>
      </c>
      <c r="P3">
        <v>0.86790567916700723</v>
      </c>
    </row>
    <row r="4" spans="1:16" x14ac:dyDescent="0.25">
      <c r="A4" s="1" t="s">
        <v>8</v>
      </c>
      <c r="B4">
        <v>0.58977957512793722</v>
      </c>
      <c r="C4">
        <v>0.35049777434284279</v>
      </c>
      <c r="D4">
        <v>0</v>
      </c>
      <c r="E4">
        <v>0.51486888926263785</v>
      </c>
      <c r="F4">
        <v>0.50187590298932028</v>
      </c>
      <c r="G4">
        <v>0.53837533497390633</v>
      </c>
      <c r="H4">
        <v>0.8460869878876911</v>
      </c>
      <c r="I4">
        <v>0.56787838199042495</v>
      </c>
      <c r="J4">
        <v>1</v>
      </c>
      <c r="K4">
        <v>0.72687105437959509</v>
      </c>
      <c r="L4">
        <v>0.71827433711688593</v>
      </c>
      <c r="M4">
        <v>0.80970149801478042</v>
      </c>
      <c r="N4">
        <v>0.8044215033911355</v>
      </c>
      <c r="O4">
        <v>0.64908440983905225</v>
      </c>
      <c r="P4">
        <v>0.8827182593511852</v>
      </c>
    </row>
    <row r="5" spans="1:16" x14ac:dyDescent="0.25">
      <c r="A5" s="1" t="s">
        <v>9</v>
      </c>
      <c r="B5">
        <v>0.77398566636461585</v>
      </c>
      <c r="C5">
        <v>0.46743889179806941</v>
      </c>
      <c r="D5">
        <v>0.51486888926263785</v>
      </c>
      <c r="E5">
        <v>0</v>
      </c>
      <c r="F5">
        <v>0.51236181582737805</v>
      </c>
      <c r="G5">
        <v>0.5674048148005193</v>
      </c>
      <c r="H5">
        <v>0.72138997142206185</v>
      </c>
      <c r="I5">
        <v>0.56627485304130609</v>
      </c>
      <c r="J5">
        <v>0.93947190429786653</v>
      </c>
      <c r="K5">
        <v>0.73621926014400596</v>
      </c>
      <c r="L5">
        <v>0.75082550909569257</v>
      </c>
      <c r="M5">
        <v>0.73439153402668</v>
      </c>
      <c r="N5">
        <v>0.7287164480708459</v>
      </c>
      <c r="O5">
        <v>0.73690715547725261</v>
      </c>
      <c r="P5">
        <v>0.96513427790500561</v>
      </c>
    </row>
    <row r="6" spans="1:16" x14ac:dyDescent="0.25">
      <c r="A6" s="1" t="s">
        <v>4</v>
      </c>
      <c r="B6">
        <v>0.77182600572578186</v>
      </c>
      <c r="C6">
        <v>0.38431470330800782</v>
      </c>
      <c r="D6">
        <v>0.50187590298932028</v>
      </c>
      <c r="E6">
        <v>0.51236181582737805</v>
      </c>
      <c r="F6">
        <v>0</v>
      </c>
      <c r="G6">
        <v>0.52341936818940138</v>
      </c>
      <c r="H6">
        <v>0.81888093422753905</v>
      </c>
      <c r="I6">
        <v>0.47806444704671802</v>
      </c>
      <c r="J6">
        <v>0.92913995190088317</v>
      </c>
      <c r="K6">
        <v>0.60927454976120576</v>
      </c>
      <c r="L6">
        <v>0.70861349417280473</v>
      </c>
      <c r="M6">
        <v>0.76175301887635882</v>
      </c>
      <c r="N6">
        <v>0.80060644462398722</v>
      </c>
      <c r="O6">
        <v>0.65559894979106415</v>
      </c>
      <c r="P6">
        <v>0.898102796477669</v>
      </c>
    </row>
    <row r="7" spans="1:16" x14ac:dyDescent="0.25">
      <c r="A7" s="1" t="s">
        <v>7</v>
      </c>
      <c r="B7">
        <v>0.74660071763423741</v>
      </c>
      <c r="C7">
        <v>0.43059932985931287</v>
      </c>
      <c r="D7">
        <v>0.53837533497390633</v>
      </c>
      <c r="E7">
        <v>0.5674048148005193</v>
      </c>
      <c r="F7">
        <v>0.52341936818940138</v>
      </c>
      <c r="G7">
        <v>0</v>
      </c>
      <c r="H7">
        <v>0.77504034698685187</v>
      </c>
      <c r="I7">
        <v>0.46910365379702551</v>
      </c>
      <c r="J7">
        <v>0.98194531080563718</v>
      </c>
      <c r="K7">
        <v>0.6915512335561429</v>
      </c>
      <c r="L7">
        <v>0.66296501654737794</v>
      </c>
      <c r="M7">
        <v>0.84098504444532918</v>
      </c>
      <c r="N7">
        <v>0.77405718539104706</v>
      </c>
      <c r="O7">
        <v>0.75952136142876092</v>
      </c>
      <c r="P7">
        <v>0.85665391503377097</v>
      </c>
    </row>
    <row r="8" spans="1:16" x14ac:dyDescent="0.25">
      <c r="A8" s="1" t="s">
        <v>10</v>
      </c>
      <c r="B8">
        <v>0.87607073885480791</v>
      </c>
      <c r="C8">
        <v>0.78107001770789675</v>
      </c>
      <c r="D8">
        <v>0.8460869878876911</v>
      </c>
      <c r="E8">
        <v>0.72138997142206185</v>
      </c>
      <c r="F8">
        <v>0.81888093422753905</v>
      </c>
      <c r="G8">
        <v>0.77504034698685187</v>
      </c>
      <c r="H8">
        <v>0</v>
      </c>
      <c r="I8">
        <v>0.896815447321894</v>
      </c>
      <c r="J8">
        <v>0.96807161827884469</v>
      </c>
      <c r="K8">
        <v>0.73831778774605061</v>
      </c>
      <c r="L8">
        <v>0.79505867392566953</v>
      </c>
      <c r="M8">
        <v>0.79497521506187019</v>
      </c>
      <c r="N8">
        <v>0.72774216046527429</v>
      </c>
      <c r="O8">
        <v>0.84789402809789571</v>
      </c>
      <c r="P8">
        <v>0.87178299603161702</v>
      </c>
    </row>
    <row r="9" spans="1:16" x14ac:dyDescent="0.25">
      <c r="A9" s="1" t="s">
        <v>12</v>
      </c>
      <c r="B9">
        <v>0.74619738298619109</v>
      </c>
      <c r="C9">
        <v>0.42536037848997021</v>
      </c>
      <c r="D9">
        <v>0.56787838199042495</v>
      </c>
      <c r="E9">
        <v>0.56627485304130609</v>
      </c>
      <c r="F9">
        <v>0.47806444704671802</v>
      </c>
      <c r="G9">
        <v>0.46910365379702551</v>
      </c>
      <c r="H9">
        <v>0.896815447321894</v>
      </c>
      <c r="I9">
        <v>0</v>
      </c>
      <c r="J9">
        <v>0.96605367229263706</v>
      </c>
      <c r="K9">
        <v>0.64361050307400514</v>
      </c>
      <c r="L9">
        <v>0.70161474503879295</v>
      </c>
      <c r="M9">
        <v>0.80623522640637635</v>
      </c>
      <c r="N9">
        <v>0.82272685047990057</v>
      </c>
      <c r="O9">
        <v>0.74316183557127924</v>
      </c>
      <c r="P9">
        <v>0.95310346535128132</v>
      </c>
    </row>
    <row r="10" spans="1:16" x14ac:dyDescent="0.25">
      <c r="A10" s="1" t="s">
        <v>1</v>
      </c>
      <c r="B10">
        <v>0.80969518061101808</v>
      </c>
      <c r="C10">
        <v>0.89208094979704067</v>
      </c>
      <c r="D10">
        <v>1</v>
      </c>
      <c r="E10">
        <v>0.93947190429786653</v>
      </c>
      <c r="F10">
        <v>0.92913995190088317</v>
      </c>
      <c r="G10">
        <v>0.98194531080563718</v>
      </c>
      <c r="H10">
        <v>0.96807161827884469</v>
      </c>
      <c r="I10">
        <v>0.96605367229263694</v>
      </c>
      <c r="J10">
        <v>0</v>
      </c>
      <c r="K10">
        <v>0.78519635695328283</v>
      </c>
      <c r="L10">
        <v>0.65569667022717792</v>
      </c>
      <c r="M10">
        <v>0.73297500650675751</v>
      </c>
      <c r="N10">
        <v>0.57667406585575098</v>
      </c>
      <c r="O10">
        <v>0.76934884691243666</v>
      </c>
      <c r="P10">
        <v>0.64796423990371188</v>
      </c>
    </row>
    <row r="11" spans="1:16" x14ac:dyDescent="0.25">
      <c r="A11" s="1" t="s">
        <v>2</v>
      </c>
      <c r="B11">
        <v>0.56333374074949016</v>
      </c>
      <c r="C11">
        <v>0.61300902200694751</v>
      </c>
      <c r="D11">
        <v>0.72687105437959509</v>
      </c>
      <c r="E11">
        <v>0.73621926014400596</v>
      </c>
      <c r="F11">
        <v>0.60927454976120576</v>
      </c>
      <c r="G11">
        <v>0.6915512335561429</v>
      </c>
      <c r="H11">
        <v>0.73831778774605072</v>
      </c>
      <c r="I11">
        <v>0.64361050307400514</v>
      </c>
      <c r="J11">
        <v>0.78519635695328283</v>
      </c>
      <c r="K11">
        <v>0</v>
      </c>
      <c r="L11">
        <v>0.57197788009239525</v>
      </c>
      <c r="M11">
        <v>0.6460792409034275</v>
      </c>
      <c r="N11">
        <v>0.64401541250271954</v>
      </c>
      <c r="O11">
        <v>0.54259330538085127</v>
      </c>
      <c r="P11">
        <v>0.66810214765808307</v>
      </c>
    </row>
    <row r="12" spans="1:16" x14ac:dyDescent="0.25">
      <c r="A12" s="1" t="s">
        <v>3</v>
      </c>
      <c r="B12">
        <v>0.63701387202453974</v>
      </c>
      <c r="C12">
        <v>0.65355422700571719</v>
      </c>
      <c r="D12">
        <v>0.71827433711688582</v>
      </c>
      <c r="E12">
        <v>0.75082550909569257</v>
      </c>
      <c r="F12">
        <v>0.70861349417280473</v>
      </c>
      <c r="G12">
        <v>0.66296501654737794</v>
      </c>
      <c r="H12">
        <v>0.79505867392566953</v>
      </c>
      <c r="I12">
        <v>0.70161474503879295</v>
      </c>
      <c r="J12">
        <v>0.65569667022717792</v>
      </c>
      <c r="K12">
        <v>0.57197788009239525</v>
      </c>
      <c r="L12">
        <v>0</v>
      </c>
      <c r="M12">
        <v>0.70517605015809059</v>
      </c>
      <c r="N12">
        <v>0.56513010488604365</v>
      </c>
      <c r="O12">
        <v>0.52599317534164292</v>
      </c>
      <c r="P12">
        <v>0.64930339983959118</v>
      </c>
    </row>
    <row r="13" spans="1:16" x14ac:dyDescent="0.25">
      <c r="A13" s="1" t="s">
        <v>5</v>
      </c>
      <c r="B13">
        <v>0.71856742097460335</v>
      </c>
      <c r="C13">
        <v>0.78925769637940546</v>
      </c>
      <c r="D13">
        <v>0.80970149801478042</v>
      </c>
      <c r="E13">
        <v>0.73439153402668</v>
      </c>
      <c r="F13">
        <v>0.76175301887635882</v>
      </c>
      <c r="G13">
        <v>0.84098504444532918</v>
      </c>
      <c r="H13">
        <v>0.79497521506187019</v>
      </c>
      <c r="I13">
        <v>0.80623522640637635</v>
      </c>
      <c r="J13">
        <v>0.73297500650675751</v>
      </c>
      <c r="K13">
        <v>0.6460792409034275</v>
      </c>
      <c r="L13">
        <v>0.70517605015809059</v>
      </c>
      <c r="M13">
        <v>0</v>
      </c>
      <c r="N13">
        <v>0.53500803777765849</v>
      </c>
      <c r="O13">
        <v>0.57726249142069475</v>
      </c>
      <c r="P13">
        <v>0.7286803233412994</v>
      </c>
    </row>
    <row r="14" spans="1:16" x14ac:dyDescent="0.25">
      <c r="A14" s="1" t="s">
        <v>11</v>
      </c>
      <c r="B14">
        <v>0.66861356134656569</v>
      </c>
      <c r="C14">
        <v>0.73645882608420765</v>
      </c>
      <c r="D14">
        <v>0.8044215033911355</v>
      </c>
      <c r="E14">
        <v>0.7287164480708459</v>
      </c>
      <c r="F14">
        <v>0.80060644462398722</v>
      </c>
      <c r="G14">
        <v>0.77405718539104706</v>
      </c>
      <c r="H14">
        <v>0.72774216046527429</v>
      </c>
      <c r="I14">
        <v>0.82272685047990057</v>
      </c>
      <c r="J14">
        <v>0.57667406585575098</v>
      </c>
      <c r="K14">
        <v>0.64401541250271954</v>
      </c>
      <c r="L14">
        <v>0.56513010488604365</v>
      </c>
      <c r="M14">
        <v>0.53500803777765849</v>
      </c>
      <c r="N14">
        <v>0</v>
      </c>
      <c r="O14">
        <v>0.61933935154125208</v>
      </c>
      <c r="P14">
        <v>0.55567699610223797</v>
      </c>
    </row>
    <row r="15" spans="1:16" x14ac:dyDescent="0.25">
      <c r="A15" s="1" t="s">
        <v>14</v>
      </c>
      <c r="B15">
        <v>0.58431676207791183</v>
      </c>
      <c r="C15">
        <v>0.67259834607128233</v>
      </c>
      <c r="D15">
        <v>0.64908440983905225</v>
      </c>
      <c r="E15">
        <v>0.73690715547725261</v>
      </c>
      <c r="F15">
        <v>0.65559894979106415</v>
      </c>
      <c r="G15">
        <v>0.75952136142876092</v>
      </c>
      <c r="H15">
        <v>0.84789402809789571</v>
      </c>
      <c r="I15">
        <v>0.74316183557127924</v>
      </c>
      <c r="J15">
        <v>0.76934884691243666</v>
      </c>
      <c r="K15">
        <v>0.54259330538085127</v>
      </c>
      <c r="L15">
        <v>0.52599317534164292</v>
      </c>
      <c r="M15">
        <v>0.57726249142069475</v>
      </c>
      <c r="N15">
        <v>0.61933935154125208</v>
      </c>
      <c r="O15">
        <v>0</v>
      </c>
      <c r="P15">
        <v>0.67564549126501128</v>
      </c>
    </row>
    <row r="16" spans="1:16" x14ac:dyDescent="0.25">
      <c r="A16" s="1" t="s">
        <v>15</v>
      </c>
      <c r="B16">
        <v>0.71331465224842272</v>
      </c>
      <c r="C16">
        <v>0.86790567916700723</v>
      </c>
      <c r="D16">
        <v>0.8827182593511852</v>
      </c>
      <c r="E16">
        <v>0.96513427790500561</v>
      </c>
      <c r="F16">
        <v>0.898102796477669</v>
      </c>
      <c r="G16">
        <v>0.85665391503377097</v>
      </c>
      <c r="H16">
        <v>0.87178299603161702</v>
      </c>
      <c r="I16">
        <v>0.95310346535128132</v>
      </c>
      <c r="J16">
        <v>0.64796423990371188</v>
      </c>
      <c r="K16">
        <v>0.66810214765808307</v>
      </c>
      <c r="L16">
        <v>0.64930339983959118</v>
      </c>
      <c r="M16">
        <v>0.7286803233412994</v>
      </c>
      <c r="N16">
        <v>0.55567699610223797</v>
      </c>
      <c r="O16">
        <v>0.67564549126501128</v>
      </c>
      <c r="P16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>
        <v>15</v>
      </c>
    </row>
    <row r="3" spans="1:2" x14ac:dyDescent="0.25">
      <c r="A3" t="s">
        <v>83</v>
      </c>
      <c r="B3">
        <v>105</v>
      </c>
    </row>
    <row r="4" spans="1:2" x14ac:dyDescent="0.25">
      <c r="A4" t="s">
        <v>84</v>
      </c>
      <c r="B4">
        <v>3.0749705045991438</v>
      </c>
    </row>
    <row r="5" spans="1:2" x14ac:dyDescent="0.25">
      <c r="A5" t="s">
        <v>85</v>
      </c>
      <c r="B5">
        <v>2.1700156232958219</v>
      </c>
    </row>
    <row r="6" spans="1:2" x14ac:dyDescent="0.25">
      <c r="A6" t="s">
        <v>86</v>
      </c>
      <c r="B6">
        <v>2.2182528844364602</v>
      </c>
    </row>
    <row r="7" spans="1:2" x14ac:dyDescent="0.25">
      <c r="A7" t="s">
        <v>87</v>
      </c>
      <c r="B7">
        <v>1.9138583977167949</v>
      </c>
    </row>
    <row r="8" spans="1:2" x14ac:dyDescent="0.25">
      <c r="A8" t="s">
        <v>88</v>
      </c>
      <c r="B8">
        <v>1.942389318140012</v>
      </c>
    </row>
    <row r="9" spans="1:2" x14ac:dyDescent="0.25">
      <c r="A9" t="s">
        <v>89</v>
      </c>
      <c r="B9">
        <v>2.272478513527433</v>
      </c>
    </row>
    <row r="10" spans="1:2" x14ac:dyDescent="0.25">
      <c r="A10" t="s">
        <v>90</v>
      </c>
      <c r="B10">
        <v>2.270305420339997</v>
      </c>
    </row>
    <row r="11" spans="1:2" x14ac:dyDescent="0.25">
      <c r="A11" t="s">
        <v>91</v>
      </c>
      <c r="B11">
        <v>0.70570290675965586</v>
      </c>
    </row>
    <row r="12" spans="1:2" x14ac:dyDescent="0.25">
      <c r="A12" t="s">
        <v>92</v>
      </c>
      <c r="B12">
        <v>0.72138997142206185</v>
      </c>
    </row>
    <row r="13" spans="1:2" x14ac:dyDescent="0.25">
      <c r="A13" t="s">
        <v>93</v>
      </c>
      <c r="B13">
        <v>0.62239894491810321</v>
      </c>
    </row>
    <row r="14" spans="1:2" x14ac:dyDescent="0.25">
      <c r="A14" t="s">
        <v>94</v>
      </c>
      <c r="B14">
        <v>0.63167738202198587</v>
      </c>
    </row>
    <row r="15" spans="1:2" x14ac:dyDescent="0.25">
      <c r="A15" t="s">
        <v>95</v>
      </c>
      <c r="B15">
        <v>0.7390244914962768</v>
      </c>
    </row>
    <row r="16" spans="1:2" x14ac:dyDescent="0.25">
      <c r="A16" t="s">
        <v>96</v>
      </c>
      <c r="B16">
        <v>0.73831778774605072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2" customWidth="1"/>
  </cols>
  <sheetData>
    <row r="1" spans="1:2" x14ac:dyDescent="0.25">
      <c r="A1" s="2" t="s">
        <v>44</v>
      </c>
      <c r="B1" s="3" t="s">
        <v>97</v>
      </c>
    </row>
    <row r="2" spans="1:2" x14ac:dyDescent="0.25">
      <c r="A2" s="4" t="s">
        <v>32</v>
      </c>
      <c r="B2" s="6">
        <v>396.1</v>
      </c>
    </row>
    <row r="3" spans="1:2" x14ac:dyDescent="0.25">
      <c r="A3" s="4" t="s">
        <v>29</v>
      </c>
      <c r="B3" s="6">
        <v>366.1</v>
      </c>
    </row>
    <row r="4" spans="1:2" x14ac:dyDescent="0.25">
      <c r="A4" s="4" t="s">
        <v>28</v>
      </c>
      <c r="B4" s="6">
        <v>433.8</v>
      </c>
    </row>
    <row r="5" spans="1:2" x14ac:dyDescent="0.25">
      <c r="A5" s="4" t="s">
        <v>33</v>
      </c>
      <c r="B5" s="6">
        <v>442.4</v>
      </c>
    </row>
    <row r="6" spans="1:2" x14ac:dyDescent="0.25">
      <c r="A6" s="4" t="s">
        <v>31</v>
      </c>
      <c r="B6" s="6">
        <v>425</v>
      </c>
    </row>
    <row r="7" spans="1:2" x14ac:dyDescent="0.25">
      <c r="A7" s="4" t="s">
        <v>37</v>
      </c>
      <c r="B7" s="6">
        <v>448</v>
      </c>
    </row>
    <row r="8" spans="1:2" x14ac:dyDescent="0.25">
      <c r="A8" s="4" t="s">
        <v>42</v>
      </c>
      <c r="B8" s="6">
        <v>412.4</v>
      </c>
    </row>
    <row r="9" spans="1:2" x14ac:dyDescent="0.25">
      <c r="A9" s="4" t="s">
        <v>40</v>
      </c>
      <c r="B9" s="6">
        <v>223.3</v>
      </c>
    </row>
    <row r="10" spans="1:2" x14ac:dyDescent="0.25">
      <c r="A10" s="4" t="s">
        <v>41</v>
      </c>
      <c r="B10" s="6">
        <v>637.4</v>
      </c>
    </row>
    <row r="11" spans="1:2" x14ac:dyDescent="0.25">
      <c r="A11" s="4" t="s">
        <v>36</v>
      </c>
      <c r="B11" s="6">
        <v>632.70000000000005</v>
      </c>
    </row>
    <row r="12" spans="1:2" x14ac:dyDescent="0.25">
      <c r="A12" s="4" t="s">
        <v>35</v>
      </c>
      <c r="B12" s="6">
        <v>497.2</v>
      </c>
    </row>
    <row r="13" spans="1:2" x14ac:dyDescent="0.25">
      <c r="A13" s="4" t="s">
        <v>38</v>
      </c>
      <c r="B13" s="6">
        <v>405.1</v>
      </c>
    </row>
    <row r="14" spans="1:2" x14ac:dyDescent="0.25">
      <c r="A14" s="4" t="s">
        <v>39</v>
      </c>
      <c r="B14" s="6">
        <v>555.79999999999995</v>
      </c>
    </row>
    <row r="15" spans="1:2" x14ac:dyDescent="0.25">
      <c r="A15" s="4" t="s">
        <v>34</v>
      </c>
      <c r="B15" s="6">
        <v>492.9</v>
      </c>
    </row>
    <row r="16" spans="1:2" x14ac:dyDescent="0.25">
      <c r="A16" s="5" t="s">
        <v>30</v>
      </c>
      <c r="B16" s="7">
        <v>507.2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Distance_Matrix</vt:lpstr>
      <vt:lpstr>Normalized_Distance_Matrix</vt:lpstr>
      <vt:lpstr>Pairwise_105</vt:lpstr>
      <vt:lpstr>Benchmark_PCA_Cluster</vt:lpstr>
      <vt:lpstr>Raw_Matrix_Sorted</vt:lpstr>
      <vt:lpstr>Normalized_Matrix_Sorted</vt:lpstr>
      <vt:lpstr>Summary</vt:lpstr>
      <vt:lpstr>Debye_Reference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Kunjie Song</cp:lastModifiedBy>
  <dcterms:modified xsi:type="dcterms:W3CDTF">2026-10-15T11:25:03Z</dcterms:modified>
</cp:coreProperties>
</file>