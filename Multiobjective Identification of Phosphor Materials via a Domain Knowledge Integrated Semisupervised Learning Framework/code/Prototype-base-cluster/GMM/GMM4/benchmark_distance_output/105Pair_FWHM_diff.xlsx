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desktop\Multiobjective Identification of Phosphor Materials via a Domain Knowledge Integrated Semisupervised Learning Framework\code\Prototype-base-cluster\GMM\GMM4\benchmark_distance_output\"/>
    </mc:Choice>
  </mc:AlternateContent>
  <xr:revisionPtr revIDLastSave="0" documentId="13_ncr:1_{F445A86F-27E9-466B-850A-B1454EB2957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6" i="1" l="1"/>
  <c r="K106" i="1"/>
  <c r="M106" i="1" s="1"/>
  <c r="L105" i="1"/>
  <c r="M105" i="1" s="1"/>
  <c r="K105" i="1"/>
  <c r="L104" i="1"/>
  <c r="K104" i="1"/>
  <c r="M104" i="1" s="1"/>
  <c r="L103" i="1"/>
  <c r="K103" i="1"/>
  <c r="M103" i="1" s="1"/>
  <c r="L102" i="1"/>
  <c r="K102" i="1"/>
  <c r="M102" i="1" s="1"/>
  <c r="L101" i="1"/>
  <c r="K101" i="1"/>
  <c r="M101" i="1" s="1"/>
  <c r="L100" i="1"/>
  <c r="M100" i="1" s="1"/>
  <c r="K100" i="1"/>
  <c r="L99" i="1"/>
  <c r="K99" i="1"/>
  <c r="M99" i="1" s="1"/>
  <c r="M98" i="1"/>
  <c r="L98" i="1"/>
  <c r="K98" i="1"/>
  <c r="L97" i="1"/>
  <c r="K97" i="1"/>
  <c r="M97" i="1" s="1"/>
  <c r="L96" i="1"/>
  <c r="K96" i="1"/>
  <c r="M96" i="1" s="1"/>
  <c r="L95" i="1"/>
  <c r="K95" i="1"/>
  <c r="M95" i="1" s="1"/>
  <c r="L94" i="1"/>
  <c r="K94" i="1"/>
  <c r="M94" i="1" s="1"/>
  <c r="M93" i="1"/>
  <c r="L93" i="1"/>
  <c r="K93" i="1"/>
  <c r="L92" i="1"/>
  <c r="K92" i="1"/>
  <c r="M92" i="1" s="1"/>
  <c r="L91" i="1"/>
  <c r="K91" i="1"/>
  <c r="M91" i="1" s="1"/>
  <c r="L90" i="1"/>
  <c r="K90" i="1"/>
  <c r="M90" i="1" s="1"/>
  <c r="L89" i="1"/>
  <c r="K89" i="1"/>
  <c r="M89" i="1" s="1"/>
  <c r="L88" i="1"/>
  <c r="K88" i="1"/>
  <c r="M88" i="1" s="1"/>
  <c r="L87" i="1"/>
  <c r="K87" i="1"/>
  <c r="M87" i="1" s="1"/>
  <c r="L86" i="1"/>
  <c r="K86" i="1"/>
  <c r="M86" i="1" s="1"/>
  <c r="L85" i="1"/>
  <c r="M85" i="1" s="1"/>
  <c r="K85" i="1"/>
  <c r="L84" i="1"/>
  <c r="K84" i="1"/>
  <c r="M84" i="1" s="1"/>
  <c r="L83" i="1"/>
  <c r="K83" i="1"/>
  <c r="M83" i="1" s="1"/>
  <c r="L82" i="1"/>
  <c r="K82" i="1"/>
  <c r="M82" i="1" s="1"/>
  <c r="L81" i="1"/>
  <c r="K81" i="1"/>
  <c r="M81" i="1" s="1"/>
  <c r="L80" i="1"/>
  <c r="M80" i="1" s="1"/>
  <c r="K80" i="1"/>
  <c r="L79" i="1"/>
  <c r="K79" i="1"/>
  <c r="M79" i="1" s="1"/>
  <c r="M78" i="1"/>
  <c r="L78" i="1"/>
  <c r="K78" i="1"/>
  <c r="L77" i="1"/>
  <c r="K77" i="1"/>
  <c r="M77" i="1" s="1"/>
  <c r="L76" i="1"/>
  <c r="K76" i="1"/>
  <c r="M76" i="1" s="1"/>
  <c r="L75" i="1"/>
  <c r="K75" i="1"/>
  <c r="M75" i="1" s="1"/>
  <c r="L74" i="1"/>
  <c r="K74" i="1"/>
  <c r="M74" i="1" s="1"/>
  <c r="M73" i="1"/>
  <c r="L73" i="1"/>
  <c r="K73" i="1"/>
  <c r="L72" i="1"/>
  <c r="K72" i="1"/>
  <c r="M72" i="1" s="1"/>
  <c r="L71" i="1"/>
  <c r="K71" i="1"/>
  <c r="M71" i="1" s="1"/>
  <c r="L70" i="1"/>
  <c r="K70" i="1"/>
  <c r="M70" i="1" s="1"/>
  <c r="L69" i="1"/>
  <c r="K69" i="1"/>
  <c r="M69" i="1" s="1"/>
  <c r="L68" i="1"/>
  <c r="K68" i="1"/>
  <c r="M68" i="1" s="1"/>
  <c r="L67" i="1"/>
  <c r="K67" i="1"/>
  <c r="M67" i="1" s="1"/>
  <c r="L66" i="1"/>
  <c r="K66" i="1"/>
  <c r="M66" i="1" s="1"/>
  <c r="L65" i="1"/>
  <c r="M65" i="1" s="1"/>
  <c r="K65" i="1"/>
  <c r="L64" i="1"/>
  <c r="K64" i="1"/>
  <c r="M64" i="1" s="1"/>
  <c r="L63" i="1"/>
  <c r="K63" i="1"/>
  <c r="M63" i="1" s="1"/>
  <c r="L62" i="1"/>
  <c r="K62" i="1"/>
  <c r="M62" i="1" s="1"/>
  <c r="L61" i="1"/>
  <c r="K61" i="1"/>
  <c r="M61" i="1" s="1"/>
  <c r="L60" i="1"/>
  <c r="M60" i="1" s="1"/>
  <c r="K60" i="1"/>
  <c r="L59" i="1"/>
  <c r="K59" i="1"/>
  <c r="M59" i="1" s="1"/>
  <c r="M58" i="1"/>
  <c r="L58" i="1"/>
  <c r="K58" i="1"/>
  <c r="L57" i="1"/>
  <c r="K57" i="1"/>
  <c r="M57" i="1" s="1"/>
  <c r="L56" i="1"/>
  <c r="K56" i="1"/>
  <c r="M56" i="1" s="1"/>
  <c r="L55" i="1"/>
  <c r="K55" i="1"/>
  <c r="M55" i="1" s="1"/>
  <c r="L54" i="1"/>
  <c r="K54" i="1"/>
  <c r="M54" i="1" s="1"/>
  <c r="M53" i="1"/>
  <c r="L53" i="1"/>
  <c r="K53" i="1"/>
  <c r="L52" i="1"/>
  <c r="K52" i="1"/>
  <c r="M52" i="1" s="1"/>
  <c r="L51" i="1"/>
  <c r="K51" i="1"/>
  <c r="M51" i="1" s="1"/>
  <c r="L50" i="1"/>
  <c r="K50" i="1"/>
  <c r="M50" i="1" s="1"/>
  <c r="L49" i="1"/>
  <c r="K49" i="1"/>
  <c r="M49" i="1" s="1"/>
  <c r="L48" i="1"/>
  <c r="K48" i="1"/>
  <c r="M48" i="1" s="1"/>
  <c r="L47" i="1"/>
  <c r="K47" i="1"/>
  <c r="M47" i="1" s="1"/>
  <c r="L46" i="1"/>
  <c r="K46" i="1"/>
  <c r="M46" i="1" s="1"/>
  <c r="L45" i="1"/>
  <c r="M45" i="1" s="1"/>
  <c r="K45" i="1"/>
  <c r="L44" i="1"/>
  <c r="K44" i="1"/>
  <c r="M44" i="1" s="1"/>
  <c r="L43" i="1"/>
  <c r="K43" i="1"/>
  <c r="M43" i="1" s="1"/>
  <c r="L42" i="1"/>
  <c r="K42" i="1"/>
  <c r="M42" i="1" s="1"/>
  <c r="L41" i="1"/>
  <c r="K41" i="1"/>
  <c r="M41" i="1" s="1"/>
  <c r="L40" i="1"/>
  <c r="M40" i="1" s="1"/>
  <c r="K40" i="1"/>
  <c r="L39" i="1"/>
  <c r="K39" i="1"/>
  <c r="M39" i="1" s="1"/>
  <c r="M38" i="1"/>
  <c r="L38" i="1"/>
  <c r="K38" i="1"/>
  <c r="L37" i="1"/>
  <c r="K37" i="1"/>
  <c r="M37" i="1" s="1"/>
  <c r="L36" i="1"/>
  <c r="K36" i="1"/>
  <c r="M36" i="1" s="1"/>
  <c r="L35" i="1"/>
  <c r="K35" i="1"/>
  <c r="M35" i="1" s="1"/>
  <c r="L34" i="1"/>
  <c r="K34" i="1"/>
  <c r="M34" i="1" s="1"/>
  <c r="M33" i="1"/>
  <c r="L33" i="1"/>
  <c r="K33" i="1"/>
  <c r="L32" i="1"/>
  <c r="K32" i="1"/>
  <c r="M32" i="1" s="1"/>
  <c r="L31" i="1"/>
  <c r="K31" i="1"/>
  <c r="M31" i="1" s="1"/>
  <c r="L30" i="1"/>
  <c r="K30" i="1"/>
  <c r="M30" i="1" s="1"/>
  <c r="L29" i="1"/>
  <c r="K29" i="1"/>
  <c r="M29" i="1" s="1"/>
  <c r="L28" i="1"/>
  <c r="K28" i="1"/>
  <c r="M28" i="1" s="1"/>
  <c r="L27" i="1"/>
  <c r="K27" i="1"/>
  <c r="M27" i="1" s="1"/>
  <c r="L26" i="1"/>
  <c r="K26" i="1"/>
  <c r="M26" i="1" s="1"/>
  <c r="L25" i="1"/>
  <c r="M25" i="1" s="1"/>
  <c r="K25" i="1"/>
  <c r="L24" i="1"/>
  <c r="K24" i="1"/>
  <c r="M24" i="1" s="1"/>
  <c r="L23" i="1"/>
  <c r="K23" i="1"/>
  <c r="M23" i="1" s="1"/>
  <c r="L22" i="1"/>
  <c r="K22" i="1"/>
  <c r="M22" i="1" s="1"/>
  <c r="L21" i="1"/>
  <c r="K21" i="1"/>
  <c r="M21" i="1" s="1"/>
  <c r="L20" i="1"/>
  <c r="M20" i="1" s="1"/>
  <c r="K20" i="1"/>
  <c r="L19" i="1"/>
  <c r="K19" i="1"/>
  <c r="M19" i="1" s="1"/>
  <c r="M18" i="1"/>
  <c r="L18" i="1"/>
  <c r="K18" i="1"/>
  <c r="L17" i="1"/>
  <c r="K17" i="1"/>
  <c r="M17" i="1" s="1"/>
  <c r="L16" i="1"/>
  <c r="K16" i="1"/>
  <c r="M16" i="1" s="1"/>
  <c r="L15" i="1"/>
  <c r="K15" i="1"/>
  <c r="M15" i="1" s="1"/>
  <c r="L14" i="1"/>
  <c r="K14" i="1"/>
  <c r="M14" i="1" s="1"/>
  <c r="M13" i="1"/>
  <c r="L13" i="1"/>
  <c r="K13" i="1"/>
  <c r="L12" i="1"/>
  <c r="K12" i="1"/>
  <c r="M12" i="1" s="1"/>
  <c r="L11" i="1"/>
  <c r="K11" i="1"/>
  <c r="M11" i="1" s="1"/>
  <c r="L10" i="1"/>
  <c r="K10" i="1"/>
  <c r="M10" i="1" s="1"/>
  <c r="L9" i="1"/>
  <c r="K9" i="1"/>
  <c r="M9" i="1" s="1"/>
  <c r="L8" i="1"/>
  <c r="K8" i="1"/>
  <c r="M8" i="1" s="1"/>
  <c r="L7" i="1"/>
  <c r="K7" i="1"/>
  <c r="M7" i="1" s="1"/>
  <c r="L6" i="1"/>
  <c r="K6" i="1"/>
  <c r="M6" i="1" s="1"/>
  <c r="L5" i="1"/>
  <c r="M5" i="1" s="1"/>
  <c r="K5" i="1"/>
  <c r="L4" i="1"/>
  <c r="K4" i="1"/>
  <c r="M4" i="1" s="1"/>
  <c r="L3" i="1"/>
  <c r="K3" i="1"/>
  <c r="M3" i="1" s="1"/>
  <c r="L2" i="1"/>
  <c r="K2" i="1"/>
  <c r="M2" i="1" s="1"/>
</calcChain>
</file>

<file path=xl/sharedStrings.xml><?xml version="1.0" encoding="utf-8"?>
<sst xmlns="http://schemas.openxmlformats.org/spreadsheetml/2006/main" count="223" uniqueCount="28">
  <si>
    <t>Pair_Rank_From_Nearest</t>
  </si>
  <si>
    <t>Benchmark_A_Number</t>
  </si>
  <si>
    <t>Benchmark_A_Composition</t>
  </si>
  <si>
    <t>Cluster_A</t>
  </si>
  <si>
    <t>Benchmark_B_Number</t>
  </si>
  <si>
    <t>Benchmark_B_Composition</t>
  </si>
  <si>
    <t>Cluster_B</t>
  </si>
  <si>
    <t>Same_Cluster</t>
  </si>
  <si>
    <t>Euclidean_Distance</t>
  </si>
  <si>
    <t>Normalized_Euclidean_Distance</t>
  </si>
  <si>
    <t>Benchmark_A_FWHM_nm</t>
  </si>
  <si>
    <t>Benchmark_B_FWHM_nm</t>
  </si>
  <si>
    <t>SrAl2O4</t>
  </si>
  <si>
    <t>Ba2MgSi2O7</t>
  </si>
  <si>
    <t>Ba2Mg(PO4)2</t>
  </si>
  <si>
    <t>Ba2Ca(BO3)2</t>
  </si>
  <si>
    <t>K2RbNaLi12(SiO4)4</t>
  </si>
  <si>
    <t>BaLi2SiO4</t>
  </si>
  <si>
    <t>Ba6Y2Al4O15</t>
  </si>
  <si>
    <t>RbLi7(SiO4)2</t>
  </si>
  <si>
    <t>Ba3Si6(NO6)2</t>
  </si>
  <si>
    <t>Rb2ZrSi2O7</t>
  </si>
  <si>
    <t>Sr2LiSiO4F</t>
  </si>
  <si>
    <t>NaCaPO4</t>
  </si>
  <si>
    <t>Cs2BaP2O7</t>
  </si>
  <si>
    <t>Na3YSi2O7</t>
  </si>
  <si>
    <t>BaNa(B3O5)3</t>
  </si>
  <si>
    <t>FWHM_Difference_nm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</si>
</sst>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  <font>
      <b/>
      <sz val="11"/>
      <name val="Times New Roman"/>
      <family val="1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</cellXfs>
  <cellStyles count="2">
    <cellStyle name="Normal" xfId="1" xr:uid="{775E97F6-251E-4036-8E27-BF14B3F5F5F2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E:\desktop\Multiobjective%20Identification%20of%20Phosphor%20Materials%20via%20a%20Domain%20Knowledge%20Integrated%20Semisupervised%20Learning%20Framework\code\Prototype-base-cluster\GMM\GMM4\benchmark_distance_output\15_benchmark_pairwise_with_FWHM_difference_105pairs.xlsx" TargetMode="External"/><Relationship Id="rId2" Type="http://schemas.microsoft.com/office/2019/04/relationships/externalLinkLongPath" Target="15_benchmark_pairwise_with_FWHM_difference_105pairs.xlsx?A5073CA2" TargetMode="External"/><Relationship Id="rId1" Type="http://schemas.openxmlformats.org/officeDocument/2006/relationships/externalLinkPath" Target="file:///\\A5073CA2\15_benchmark_pairwise_with_FWHM_difference_105pai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Distance_Matrix"/>
      <sheetName val="Normalized_Distance_Matrix"/>
      <sheetName val="Pairwise_105"/>
      <sheetName val="Benchmark_PCA_Cluster"/>
      <sheetName val="Raw_Matrix_Sorted"/>
      <sheetName val="Normalized_Matrix_Sorted"/>
      <sheetName val="Summary"/>
      <sheetName val="FWHM_Refe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Ba2Ca(BO3)2</v>
          </cell>
          <cell r="B2">
            <v>75</v>
          </cell>
        </row>
        <row r="3">
          <cell r="A3" t="str">
            <v>Ba2Mg(PO4)2</v>
          </cell>
          <cell r="B3">
            <v>120</v>
          </cell>
        </row>
        <row r="4">
          <cell r="A4" t="str">
            <v>Ba2MgSi2O7</v>
          </cell>
          <cell r="B4">
            <v>75</v>
          </cell>
        </row>
        <row r="5">
          <cell r="A5" t="str">
            <v>Ba3Si6(NO6)2</v>
          </cell>
          <cell r="B5">
            <v>68</v>
          </cell>
        </row>
        <row r="6">
          <cell r="A6" t="str">
            <v>Ba6Y2Al4O15</v>
          </cell>
          <cell r="B6">
            <v>69</v>
          </cell>
        </row>
        <row r="7">
          <cell r="A7" t="str">
            <v>BaLi2SiO4</v>
          </cell>
          <cell r="B7">
            <v>61</v>
          </cell>
        </row>
        <row r="8">
          <cell r="A8" t="str">
            <v>BaNa(B3O5)3</v>
          </cell>
          <cell r="B8">
            <v>61</v>
          </cell>
        </row>
        <row r="9">
          <cell r="A9" t="str">
            <v>Cs2BaP2O7</v>
          </cell>
          <cell r="B9">
            <v>100</v>
          </cell>
        </row>
        <row r="10">
          <cell r="A10" t="str">
            <v>K2RbNaLi12(SiO4)4</v>
          </cell>
          <cell r="B10">
            <v>51</v>
          </cell>
        </row>
        <row r="11">
          <cell r="A11" t="str">
            <v>Na3YSi2O7</v>
          </cell>
          <cell r="B11">
            <v>105</v>
          </cell>
        </row>
        <row r="12">
          <cell r="A12" t="str">
            <v>NaCaPO4</v>
          </cell>
          <cell r="B12">
            <v>65</v>
          </cell>
        </row>
        <row r="13">
          <cell r="A13" t="str">
            <v>Rb2ZrSi2O7</v>
          </cell>
          <cell r="B13">
            <v>91</v>
          </cell>
        </row>
        <row r="14">
          <cell r="A14" t="str">
            <v>RbLi7(SiO4)2</v>
          </cell>
          <cell r="B14">
            <v>42</v>
          </cell>
        </row>
        <row r="15">
          <cell r="A15" t="str">
            <v>Sr2LiSiO4F</v>
          </cell>
          <cell r="B15">
            <v>100</v>
          </cell>
        </row>
        <row r="16">
          <cell r="A16" t="str">
            <v>SrAl2O4</v>
          </cell>
          <cell r="B16">
            <v>77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6"/>
  <sheetViews>
    <sheetView tabSelected="1" topLeftCell="B1" workbookViewId="0">
      <selection activeCell="M6" sqref="M6"/>
    </sheetView>
  </sheetViews>
  <sheetFormatPr defaultColWidth="20.625" defaultRowHeight="15" x14ac:dyDescent="0.2"/>
  <cols>
    <col min="1" max="16384" width="20.625" style="3"/>
  </cols>
  <sheetData>
    <row r="1" spans="1:13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27</v>
      </c>
    </row>
    <row r="2" spans="1:13" x14ac:dyDescent="0.2">
      <c r="A2" s="3">
        <v>1</v>
      </c>
      <c r="B2" s="3">
        <v>17</v>
      </c>
      <c r="C2" s="3" t="s">
        <v>12</v>
      </c>
      <c r="D2" s="3">
        <v>2</v>
      </c>
      <c r="E2" s="3">
        <v>111</v>
      </c>
      <c r="F2" s="3" t="s">
        <v>13</v>
      </c>
      <c r="G2" s="3">
        <v>2</v>
      </c>
      <c r="H2" s="3" t="b">
        <v>1</v>
      </c>
      <c r="I2" s="3">
        <v>0.63889810882828191</v>
      </c>
      <c r="J2" s="3">
        <v>0.23076771816091521</v>
      </c>
      <c r="K2" s="4">
        <f>VLOOKUP(C2,[1]FWHM_Reference!$A$2:$B$16,2,FALSE)</f>
        <v>77</v>
      </c>
      <c r="L2" s="4">
        <f>VLOOKUP(F2,[1]FWHM_Reference!$A$2:$B$16,2,FALSE)</f>
        <v>75</v>
      </c>
      <c r="M2" s="4">
        <f t="shared" ref="M2:M65" si="0">ABS(K2-L2)</f>
        <v>2</v>
      </c>
    </row>
    <row r="3" spans="1:13" x14ac:dyDescent="0.2">
      <c r="A3" s="3">
        <v>2</v>
      </c>
      <c r="B3" s="3">
        <v>111</v>
      </c>
      <c r="C3" s="3" t="s">
        <v>13</v>
      </c>
      <c r="D3" s="3">
        <v>2</v>
      </c>
      <c r="E3" s="3">
        <v>144</v>
      </c>
      <c r="F3" s="3" t="s">
        <v>14</v>
      </c>
      <c r="G3" s="3">
        <v>2</v>
      </c>
      <c r="H3" s="3" t="b">
        <v>1</v>
      </c>
      <c r="I3" s="3">
        <v>0.75743169806564115</v>
      </c>
      <c r="J3" s="3">
        <v>0.27358162782155637</v>
      </c>
      <c r="K3" s="4">
        <f>VLOOKUP(C3,[1]FWHM_Reference!$A$2:$B$16,2,FALSE)</f>
        <v>75</v>
      </c>
      <c r="L3" s="4">
        <f>VLOOKUP(F3,[1]FWHM_Reference!$A$2:$B$16,2,FALSE)</f>
        <v>120</v>
      </c>
      <c r="M3" s="4">
        <f t="shared" si="0"/>
        <v>45</v>
      </c>
    </row>
    <row r="4" spans="1:13" x14ac:dyDescent="0.2">
      <c r="A4" s="3">
        <v>3</v>
      </c>
      <c r="B4" s="3">
        <v>111</v>
      </c>
      <c r="C4" s="3" t="s">
        <v>13</v>
      </c>
      <c r="D4" s="3">
        <v>2</v>
      </c>
      <c r="E4" s="3">
        <v>142</v>
      </c>
      <c r="F4" s="3" t="s">
        <v>15</v>
      </c>
      <c r="G4" s="3">
        <v>2</v>
      </c>
      <c r="H4" s="3" t="b">
        <v>1</v>
      </c>
      <c r="I4" s="3">
        <v>0.83304459385286023</v>
      </c>
      <c r="J4" s="3">
        <v>0.30089273609257089</v>
      </c>
      <c r="K4" s="4">
        <f>VLOOKUP(C4,[1]FWHM_Reference!$A$2:$B$16,2,FALSE)</f>
        <v>75</v>
      </c>
      <c r="L4" s="4">
        <f>VLOOKUP(F4,[1]FWHM_Reference!$A$2:$B$16,2,FALSE)</f>
        <v>75</v>
      </c>
      <c r="M4" s="4">
        <f t="shared" si="0"/>
        <v>0</v>
      </c>
    </row>
    <row r="5" spans="1:13" x14ac:dyDescent="0.2">
      <c r="A5" s="3">
        <v>4</v>
      </c>
      <c r="B5" s="3">
        <v>14</v>
      </c>
      <c r="C5" s="3" t="s">
        <v>16</v>
      </c>
      <c r="D5" s="3">
        <v>4</v>
      </c>
      <c r="E5" s="3">
        <v>171</v>
      </c>
      <c r="F5" s="3" t="s">
        <v>17</v>
      </c>
      <c r="G5" s="3">
        <v>4</v>
      </c>
      <c r="H5" s="3" t="b">
        <v>1</v>
      </c>
      <c r="I5" s="3">
        <v>0.88606602189976924</v>
      </c>
      <c r="J5" s="3">
        <v>0.32004388679241902</v>
      </c>
      <c r="K5" s="4">
        <f>VLOOKUP(C5,[1]FWHM_Reference!$A$2:$B$16,2,FALSE)</f>
        <v>51</v>
      </c>
      <c r="L5" s="4">
        <f>VLOOKUP(F5,[1]FWHM_Reference!$A$2:$B$16,2,FALSE)</f>
        <v>61</v>
      </c>
      <c r="M5" s="4">
        <f t="shared" si="0"/>
        <v>10</v>
      </c>
    </row>
    <row r="6" spans="1:13" x14ac:dyDescent="0.2">
      <c r="A6" s="3">
        <v>5</v>
      </c>
      <c r="B6" s="3">
        <v>111</v>
      </c>
      <c r="C6" s="3" t="s">
        <v>13</v>
      </c>
      <c r="D6" s="3">
        <v>2</v>
      </c>
      <c r="E6" s="3">
        <v>180</v>
      </c>
      <c r="F6" s="3" t="s">
        <v>18</v>
      </c>
      <c r="G6" s="3">
        <v>2</v>
      </c>
      <c r="H6" s="3" t="b">
        <v>1</v>
      </c>
      <c r="I6" s="3">
        <v>0.89089624214817142</v>
      </c>
      <c r="J6" s="3">
        <v>0.3217885451182711</v>
      </c>
      <c r="K6" s="4">
        <f>VLOOKUP(C6,[1]FWHM_Reference!$A$2:$B$16,2,FALSE)</f>
        <v>75</v>
      </c>
      <c r="L6" s="4">
        <f>VLOOKUP(F6,[1]FWHM_Reference!$A$2:$B$16,2,FALSE)</f>
        <v>69</v>
      </c>
      <c r="M6" s="4">
        <f t="shared" si="0"/>
        <v>6</v>
      </c>
    </row>
    <row r="7" spans="1:13" x14ac:dyDescent="0.2">
      <c r="A7" s="3">
        <v>6</v>
      </c>
      <c r="B7" s="3">
        <v>142</v>
      </c>
      <c r="C7" s="3" t="s">
        <v>15</v>
      </c>
      <c r="D7" s="3">
        <v>2</v>
      </c>
      <c r="E7" s="3">
        <v>180</v>
      </c>
      <c r="F7" s="3" t="s">
        <v>18</v>
      </c>
      <c r="G7" s="3">
        <v>2</v>
      </c>
      <c r="H7" s="3" t="b">
        <v>1</v>
      </c>
      <c r="I7" s="3">
        <v>0.98938879750608177</v>
      </c>
      <c r="J7" s="3">
        <v>0.35736370482169649</v>
      </c>
      <c r="K7" s="4">
        <f>VLOOKUP(C7,[1]FWHM_Reference!$A$2:$B$16,2,FALSE)</f>
        <v>75</v>
      </c>
      <c r="L7" s="4">
        <f>VLOOKUP(F7,[1]FWHM_Reference!$A$2:$B$16,2,FALSE)</f>
        <v>69</v>
      </c>
      <c r="M7" s="4">
        <f t="shared" si="0"/>
        <v>6</v>
      </c>
    </row>
    <row r="8" spans="1:13" x14ac:dyDescent="0.2">
      <c r="A8" s="3">
        <v>7</v>
      </c>
      <c r="B8" s="3">
        <v>17</v>
      </c>
      <c r="C8" s="3" t="s">
        <v>12</v>
      </c>
      <c r="D8" s="3">
        <v>2</v>
      </c>
      <c r="E8" s="3">
        <v>180</v>
      </c>
      <c r="F8" s="3" t="s">
        <v>18</v>
      </c>
      <c r="G8" s="3">
        <v>2</v>
      </c>
      <c r="H8" s="3" t="b">
        <v>1</v>
      </c>
      <c r="I8" s="3">
        <v>1.0321342207372941</v>
      </c>
      <c r="J8" s="3">
        <v>0.3728031992333799</v>
      </c>
      <c r="K8" s="4">
        <f>VLOOKUP(C8,[1]FWHM_Reference!$A$2:$B$16,2,FALSE)</f>
        <v>77</v>
      </c>
      <c r="L8" s="4">
        <f>VLOOKUP(F8,[1]FWHM_Reference!$A$2:$B$16,2,FALSE)</f>
        <v>69</v>
      </c>
      <c r="M8" s="4">
        <f t="shared" si="0"/>
        <v>8</v>
      </c>
    </row>
    <row r="9" spans="1:13" x14ac:dyDescent="0.2">
      <c r="A9" s="3">
        <v>8</v>
      </c>
      <c r="B9" s="3">
        <v>17</v>
      </c>
      <c r="C9" s="3" t="s">
        <v>12</v>
      </c>
      <c r="D9" s="3">
        <v>2</v>
      </c>
      <c r="E9" s="3">
        <v>142</v>
      </c>
      <c r="F9" s="3" t="s">
        <v>15</v>
      </c>
      <c r="G9" s="3">
        <v>2</v>
      </c>
      <c r="H9" s="3" t="b">
        <v>1</v>
      </c>
      <c r="I9" s="3">
        <v>1.0539154165460269</v>
      </c>
      <c r="J9" s="3">
        <v>0.3806704894728451</v>
      </c>
      <c r="K9" s="4">
        <f>VLOOKUP(C9,[1]FWHM_Reference!$A$2:$B$16,2,FALSE)</f>
        <v>77</v>
      </c>
      <c r="L9" s="4">
        <f>VLOOKUP(F9,[1]FWHM_Reference!$A$2:$B$16,2,FALSE)</f>
        <v>75</v>
      </c>
      <c r="M9" s="4">
        <f t="shared" si="0"/>
        <v>2</v>
      </c>
    </row>
    <row r="10" spans="1:13" x14ac:dyDescent="0.2">
      <c r="A10" s="3">
        <v>9</v>
      </c>
      <c r="B10" s="3">
        <v>14</v>
      </c>
      <c r="C10" s="3" t="s">
        <v>16</v>
      </c>
      <c r="D10" s="3">
        <v>4</v>
      </c>
      <c r="E10" s="3">
        <v>283</v>
      </c>
      <c r="F10" s="3" t="s">
        <v>19</v>
      </c>
      <c r="G10" s="3">
        <v>4</v>
      </c>
      <c r="H10" s="3" t="b">
        <v>1</v>
      </c>
      <c r="I10" s="3">
        <v>1.0691845606964401</v>
      </c>
      <c r="J10" s="3">
        <v>0.38618564987975718</v>
      </c>
      <c r="K10" s="4">
        <f>VLOOKUP(C10,[1]FWHM_Reference!$A$2:$B$16,2,FALSE)</f>
        <v>51</v>
      </c>
      <c r="L10" s="4">
        <f>VLOOKUP(F10,[1]FWHM_Reference!$A$2:$B$16,2,FALSE)</f>
        <v>42</v>
      </c>
      <c r="M10" s="4">
        <f t="shared" si="0"/>
        <v>9</v>
      </c>
    </row>
    <row r="11" spans="1:13" x14ac:dyDescent="0.2">
      <c r="A11" s="3">
        <v>10</v>
      </c>
      <c r="B11" s="3">
        <v>111</v>
      </c>
      <c r="C11" s="3" t="s">
        <v>13</v>
      </c>
      <c r="D11" s="3">
        <v>2</v>
      </c>
      <c r="E11" s="3">
        <v>153</v>
      </c>
      <c r="F11" s="3" t="s">
        <v>20</v>
      </c>
      <c r="G11" s="3">
        <v>2</v>
      </c>
      <c r="H11" s="3" t="b">
        <v>1</v>
      </c>
      <c r="I11" s="3">
        <v>1.074229737431206</v>
      </c>
      <c r="J11" s="3">
        <v>0.38800794972180203</v>
      </c>
      <c r="K11" s="4">
        <f>VLOOKUP(C11,[1]FWHM_Reference!$A$2:$B$16,2,FALSE)</f>
        <v>75</v>
      </c>
      <c r="L11" s="4">
        <f>VLOOKUP(F11,[1]FWHM_Reference!$A$2:$B$16,2,FALSE)</f>
        <v>68</v>
      </c>
      <c r="M11" s="4">
        <f t="shared" si="0"/>
        <v>7</v>
      </c>
    </row>
    <row r="12" spans="1:13" x14ac:dyDescent="0.2">
      <c r="A12" s="3">
        <v>11</v>
      </c>
      <c r="B12" s="3">
        <v>17</v>
      </c>
      <c r="C12" s="3" t="s">
        <v>12</v>
      </c>
      <c r="D12" s="3">
        <v>2</v>
      </c>
      <c r="E12" s="3">
        <v>153</v>
      </c>
      <c r="F12" s="3" t="s">
        <v>20</v>
      </c>
      <c r="G12" s="3">
        <v>2</v>
      </c>
      <c r="H12" s="3" t="b">
        <v>1</v>
      </c>
      <c r="I12" s="3">
        <v>1.1620278793795931</v>
      </c>
      <c r="J12" s="3">
        <v>0.41972032544530419</v>
      </c>
      <c r="K12" s="4">
        <f>VLOOKUP(C12,[1]FWHM_Reference!$A$2:$B$16,2,FALSE)</f>
        <v>77</v>
      </c>
      <c r="L12" s="4">
        <f>VLOOKUP(F12,[1]FWHM_Reference!$A$2:$B$16,2,FALSE)</f>
        <v>68</v>
      </c>
      <c r="M12" s="4">
        <f t="shared" si="0"/>
        <v>9</v>
      </c>
    </row>
    <row r="13" spans="1:13" x14ac:dyDescent="0.2">
      <c r="A13" s="3">
        <v>12</v>
      </c>
      <c r="B13" s="3">
        <v>15</v>
      </c>
      <c r="C13" s="3" t="s">
        <v>21</v>
      </c>
      <c r="D13" s="3">
        <v>4</v>
      </c>
      <c r="E13" s="3">
        <v>16</v>
      </c>
      <c r="F13" s="3" t="s">
        <v>22</v>
      </c>
      <c r="G13" s="3">
        <v>4</v>
      </c>
      <c r="H13" s="3" t="b">
        <v>1</v>
      </c>
      <c r="I13" s="3">
        <v>1.209199024727265</v>
      </c>
      <c r="J13" s="3">
        <v>0.4367583749002994</v>
      </c>
      <c r="K13" s="4">
        <f>VLOOKUP(C13,[1]FWHM_Reference!$A$2:$B$16,2,FALSE)</f>
        <v>91</v>
      </c>
      <c r="L13" s="4">
        <f>VLOOKUP(F13,[1]FWHM_Reference!$A$2:$B$16,2,FALSE)</f>
        <v>100</v>
      </c>
      <c r="M13" s="4">
        <f t="shared" si="0"/>
        <v>9</v>
      </c>
    </row>
    <row r="14" spans="1:13" x14ac:dyDescent="0.2">
      <c r="A14" s="3">
        <v>13</v>
      </c>
      <c r="B14" s="3">
        <v>17</v>
      </c>
      <c r="C14" s="3" t="s">
        <v>12</v>
      </c>
      <c r="D14" s="3">
        <v>2</v>
      </c>
      <c r="E14" s="3">
        <v>144</v>
      </c>
      <c r="F14" s="3" t="s">
        <v>14</v>
      </c>
      <c r="G14" s="3">
        <v>2</v>
      </c>
      <c r="H14" s="3" t="b">
        <v>1</v>
      </c>
      <c r="I14" s="3">
        <v>1.209863373786819</v>
      </c>
      <c r="J14" s="3">
        <v>0.4369983354110869</v>
      </c>
      <c r="K14" s="4">
        <f>VLOOKUP(C14,[1]FWHM_Reference!$A$2:$B$16,2,FALSE)</f>
        <v>77</v>
      </c>
      <c r="L14" s="4">
        <f>VLOOKUP(F14,[1]FWHM_Reference!$A$2:$B$16,2,FALSE)</f>
        <v>120</v>
      </c>
      <c r="M14" s="4">
        <f t="shared" si="0"/>
        <v>43</v>
      </c>
    </row>
    <row r="15" spans="1:13" x14ac:dyDescent="0.2">
      <c r="A15" s="3">
        <v>14</v>
      </c>
      <c r="B15" s="3">
        <v>16</v>
      </c>
      <c r="C15" s="3" t="s">
        <v>22</v>
      </c>
      <c r="D15" s="3">
        <v>4</v>
      </c>
      <c r="E15" s="3">
        <v>261</v>
      </c>
      <c r="F15" s="3" t="s">
        <v>23</v>
      </c>
      <c r="G15" s="3">
        <v>4</v>
      </c>
      <c r="H15" s="3" t="b">
        <v>1</v>
      </c>
      <c r="I15" s="3">
        <v>1.2182456578719301</v>
      </c>
      <c r="J15" s="3">
        <v>0.44002598652566788</v>
      </c>
      <c r="K15" s="4">
        <f>VLOOKUP(C15,[1]FWHM_Reference!$A$2:$B$16,2,FALSE)</f>
        <v>100</v>
      </c>
      <c r="L15" s="4">
        <f>VLOOKUP(F15,[1]FWHM_Reference!$A$2:$B$16,2,FALSE)</f>
        <v>65</v>
      </c>
      <c r="M15" s="4">
        <f t="shared" si="0"/>
        <v>35</v>
      </c>
    </row>
    <row r="16" spans="1:13" x14ac:dyDescent="0.2">
      <c r="A16" s="3">
        <v>15</v>
      </c>
      <c r="B16" s="3">
        <v>15</v>
      </c>
      <c r="C16" s="3" t="s">
        <v>21</v>
      </c>
      <c r="D16" s="3">
        <v>4</v>
      </c>
      <c r="E16" s="3">
        <v>199</v>
      </c>
      <c r="F16" s="3" t="s">
        <v>24</v>
      </c>
      <c r="G16" s="3">
        <v>4</v>
      </c>
      <c r="H16" s="3" t="b">
        <v>1</v>
      </c>
      <c r="I16" s="3">
        <v>1.2507421975423041</v>
      </c>
      <c r="J16" s="3">
        <v>0.45176362074970888</v>
      </c>
      <c r="K16" s="4">
        <f>VLOOKUP(C16,[1]FWHM_Reference!$A$2:$B$16,2,FALSE)</f>
        <v>91</v>
      </c>
      <c r="L16" s="4">
        <f>VLOOKUP(F16,[1]FWHM_Reference!$A$2:$B$16,2,FALSE)</f>
        <v>100</v>
      </c>
      <c r="M16" s="4">
        <f t="shared" si="0"/>
        <v>9</v>
      </c>
    </row>
    <row r="17" spans="1:13" x14ac:dyDescent="0.2">
      <c r="A17" s="3">
        <v>16</v>
      </c>
      <c r="B17" s="3">
        <v>95</v>
      </c>
      <c r="C17" s="3" t="s">
        <v>25</v>
      </c>
      <c r="D17" s="3">
        <v>4</v>
      </c>
      <c r="E17" s="3">
        <v>171</v>
      </c>
      <c r="F17" s="3" t="s">
        <v>17</v>
      </c>
      <c r="G17" s="3">
        <v>4</v>
      </c>
      <c r="H17" s="3" t="b">
        <v>1</v>
      </c>
      <c r="I17" s="3">
        <v>1.263791263432803</v>
      </c>
      <c r="J17" s="3">
        <v>0.45647689680745862</v>
      </c>
      <c r="K17" s="4">
        <f>VLOOKUP(C17,[1]FWHM_Reference!$A$2:$B$16,2,FALSE)</f>
        <v>105</v>
      </c>
      <c r="L17" s="4">
        <f>VLOOKUP(F17,[1]FWHM_Reference!$A$2:$B$16,2,FALSE)</f>
        <v>61</v>
      </c>
      <c r="M17" s="4">
        <f t="shared" si="0"/>
        <v>44</v>
      </c>
    </row>
    <row r="18" spans="1:13" x14ac:dyDescent="0.2">
      <c r="A18" s="3">
        <v>17</v>
      </c>
      <c r="B18" s="3">
        <v>15</v>
      </c>
      <c r="C18" s="3" t="s">
        <v>21</v>
      </c>
      <c r="D18" s="3">
        <v>4</v>
      </c>
      <c r="E18" s="3">
        <v>261</v>
      </c>
      <c r="F18" s="3" t="s">
        <v>23</v>
      </c>
      <c r="G18" s="3">
        <v>4</v>
      </c>
      <c r="H18" s="3" t="b">
        <v>1</v>
      </c>
      <c r="I18" s="3">
        <v>1.3094170936549669</v>
      </c>
      <c r="J18" s="3">
        <v>0.47295678395077118</v>
      </c>
      <c r="K18" s="4">
        <f>VLOOKUP(C18,[1]FWHM_Reference!$A$2:$B$16,2,FALSE)</f>
        <v>91</v>
      </c>
      <c r="L18" s="4">
        <f>VLOOKUP(F18,[1]FWHM_Reference!$A$2:$B$16,2,FALSE)</f>
        <v>65</v>
      </c>
      <c r="M18" s="4">
        <f t="shared" si="0"/>
        <v>26</v>
      </c>
    </row>
    <row r="19" spans="1:13" x14ac:dyDescent="0.2">
      <c r="A19" s="3">
        <v>18</v>
      </c>
      <c r="B19" s="3">
        <v>95</v>
      </c>
      <c r="C19" s="3" t="s">
        <v>25</v>
      </c>
      <c r="D19" s="3">
        <v>4</v>
      </c>
      <c r="E19" s="3">
        <v>261</v>
      </c>
      <c r="F19" s="3" t="s">
        <v>23</v>
      </c>
      <c r="G19" s="3">
        <v>4</v>
      </c>
      <c r="H19" s="3" t="b">
        <v>1</v>
      </c>
      <c r="I19" s="3">
        <v>1.3394542537413541</v>
      </c>
      <c r="J19" s="3">
        <v>0.48380609904090671</v>
      </c>
      <c r="K19" s="4">
        <f>VLOOKUP(C19,[1]FWHM_Reference!$A$2:$B$16,2,FALSE)</f>
        <v>105</v>
      </c>
      <c r="L19" s="4">
        <f>VLOOKUP(F19,[1]FWHM_Reference!$A$2:$B$16,2,FALSE)</f>
        <v>65</v>
      </c>
      <c r="M19" s="4">
        <f t="shared" si="0"/>
        <v>40</v>
      </c>
    </row>
    <row r="20" spans="1:13" x14ac:dyDescent="0.2">
      <c r="A20" s="3">
        <v>19</v>
      </c>
      <c r="B20" s="3">
        <v>142</v>
      </c>
      <c r="C20" s="3" t="s">
        <v>15</v>
      </c>
      <c r="D20" s="3">
        <v>2</v>
      </c>
      <c r="E20" s="3">
        <v>153</v>
      </c>
      <c r="F20" s="3" t="s">
        <v>20</v>
      </c>
      <c r="G20" s="3">
        <v>2</v>
      </c>
      <c r="H20" s="3" t="b">
        <v>1</v>
      </c>
      <c r="I20" s="3">
        <v>1.3457068030511949</v>
      </c>
      <c r="J20" s="3">
        <v>0.48606449755075182</v>
      </c>
      <c r="K20" s="4">
        <f>VLOOKUP(C20,[1]FWHM_Reference!$A$2:$B$16,2,FALSE)</f>
        <v>75</v>
      </c>
      <c r="L20" s="4">
        <f>VLOOKUP(F20,[1]FWHM_Reference!$A$2:$B$16,2,FALSE)</f>
        <v>68</v>
      </c>
      <c r="M20" s="4">
        <f t="shared" si="0"/>
        <v>7</v>
      </c>
    </row>
    <row r="21" spans="1:13" x14ac:dyDescent="0.2">
      <c r="A21" s="3">
        <v>20</v>
      </c>
      <c r="B21" s="3">
        <v>14</v>
      </c>
      <c r="C21" s="3" t="s">
        <v>16</v>
      </c>
      <c r="D21" s="3">
        <v>4</v>
      </c>
      <c r="E21" s="3">
        <v>95</v>
      </c>
      <c r="F21" s="3" t="s">
        <v>25</v>
      </c>
      <c r="G21" s="3">
        <v>4</v>
      </c>
      <c r="H21" s="3" t="b">
        <v>1</v>
      </c>
      <c r="I21" s="3">
        <v>1.3657687535305829</v>
      </c>
      <c r="J21" s="3">
        <v>0.49331080250926268</v>
      </c>
      <c r="K21" s="4">
        <f>VLOOKUP(C21,[1]FWHM_Reference!$A$2:$B$16,2,FALSE)</f>
        <v>51</v>
      </c>
      <c r="L21" s="4">
        <f>VLOOKUP(F21,[1]FWHM_Reference!$A$2:$B$16,2,FALSE)</f>
        <v>105</v>
      </c>
      <c r="M21" s="4">
        <f t="shared" si="0"/>
        <v>54</v>
      </c>
    </row>
    <row r="22" spans="1:13" x14ac:dyDescent="0.2">
      <c r="A22" s="3">
        <v>21</v>
      </c>
      <c r="B22" s="3">
        <v>171</v>
      </c>
      <c r="C22" s="3" t="s">
        <v>17</v>
      </c>
      <c r="D22" s="3">
        <v>4</v>
      </c>
      <c r="E22" s="3">
        <v>283</v>
      </c>
      <c r="F22" s="3" t="s">
        <v>19</v>
      </c>
      <c r="G22" s="3">
        <v>4</v>
      </c>
      <c r="H22" s="3" t="b">
        <v>1</v>
      </c>
      <c r="I22" s="3">
        <v>1.37129647437425</v>
      </c>
      <c r="J22" s="3">
        <v>0.49530739556235998</v>
      </c>
      <c r="K22" s="4">
        <f>VLOOKUP(C22,[1]FWHM_Reference!$A$2:$B$16,2,FALSE)</f>
        <v>61</v>
      </c>
      <c r="L22" s="4">
        <f>VLOOKUP(F22,[1]FWHM_Reference!$A$2:$B$16,2,FALSE)</f>
        <v>42</v>
      </c>
      <c r="M22" s="4">
        <f t="shared" si="0"/>
        <v>19</v>
      </c>
    </row>
    <row r="23" spans="1:13" x14ac:dyDescent="0.2">
      <c r="A23" s="3">
        <v>22</v>
      </c>
      <c r="B23" s="3">
        <v>144</v>
      </c>
      <c r="C23" s="3" t="s">
        <v>14</v>
      </c>
      <c r="D23" s="3">
        <v>2</v>
      </c>
      <c r="E23" s="3">
        <v>153</v>
      </c>
      <c r="F23" s="3" t="s">
        <v>20</v>
      </c>
      <c r="G23" s="3">
        <v>2</v>
      </c>
      <c r="H23" s="3" t="b">
        <v>1</v>
      </c>
      <c r="I23" s="3">
        <v>1.3754461252836589</v>
      </c>
      <c r="J23" s="3">
        <v>0.49680623467034402</v>
      </c>
      <c r="K23" s="4">
        <f>VLOOKUP(C23,[1]FWHM_Reference!$A$2:$B$16,2,FALSE)</f>
        <v>120</v>
      </c>
      <c r="L23" s="4">
        <f>VLOOKUP(F23,[1]FWHM_Reference!$A$2:$B$16,2,FALSE)</f>
        <v>68</v>
      </c>
      <c r="M23" s="4">
        <f t="shared" si="0"/>
        <v>52</v>
      </c>
    </row>
    <row r="24" spans="1:13" x14ac:dyDescent="0.2">
      <c r="A24" s="3">
        <v>23</v>
      </c>
      <c r="B24" s="3">
        <v>153</v>
      </c>
      <c r="C24" s="3" t="s">
        <v>20</v>
      </c>
      <c r="D24" s="3">
        <v>2</v>
      </c>
      <c r="E24" s="3">
        <v>180</v>
      </c>
      <c r="F24" s="3" t="s">
        <v>18</v>
      </c>
      <c r="G24" s="3">
        <v>2</v>
      </c>
      <c r="H24" s="3" t="b">
        <v>1</v>
      </c>
      <c r="I24" s="3">
        <v>1.379146650058416</v>
      </c>
      <c r="J24" s="3">
        <v>0.49814285102038242</v>
      </c>
      <c r="K24" s="4">
        <f>VLOOKUP(C24,[1]FWHM_Reference!$A$2:$B$16,2,FALSE)</f>
        <v>68</v>
      </c>
      <c r="L24" s="4">
        <f>VLOOKUP(F24,[1]FWHM_Reference!$A$2:$B$16,2,FALSE)</f>
        <v>69</v>
      </c>
      <c r="M24" s="4">
        <f t="shared" si="0"/>
        <v>1</v>
      </c>
    </row>
    <row r="25" spans="1:13" x14ac:dyDescent="0.2">
      <c r="A25" s="3">
        <v>24</v>
      </c>
      <c r="B25" s="3">
        <v>14</v>
      </c>
      <c r="C25" s="3" t="s">
        <v>16</v>
      </c>
      <c r="D25" s="3">
        <v>4</v>
      </c>
      <c r="E25" s="3">
        <v>16</v>
      </c>
      <c r="F25" s="3" t="s">
        <v>22</v>
      </c>
      <c r="G25" s="3">
        <v>4</v>
      </c>
      <c r="H25" s="3" t="b">
        <v>1</v>
      </c>
      <c r="I25" s="3">
        <v>1.4005280672419951</v>
      </c>
      <c r="J25" s="3">
        <v>0.505865742646326</v>
      </c>
      <c r="K25" s="4">
        <f>VLOOKUP(C25,[1]FWHM_Reference!$A$2:$B$16,2,FALSE)</f>
        <v>51</v>
      </c>
      <c r="L25" s="4">
        <f>VLOOKUP(F25,[1]FWHM_Reference!$A$2:$B$16,2,FALSE)</f>
        <v>100</v>
      </c>
      <c r="M25" s="4">
        <f t="shared" si="0"/>
        <v>49</v>
      </c>
    </row>
    <row r="26" spans="1:13" x14ac:dyDescent="0.2">
      <c r="A26" s="3">
        <v>25</v>
      </c>
      <c r="B26" s="3">
        <v>142</v>
      </c>
      <c r="C26" s="3" t="s">
        <v>15</v>
      </c>
      <c r="D26" s="3">
        <v>2</v>
      </c>
      <c r="E26" s="3">
        <v>144</v>
      </c>
      <c r="F26" s="3" t="s">
        <v>14</v>
      </c>
      <c r="G26" s="3">
        <v>2</v>
      </c>
      <c r="H26" s="3" t="b">
        <v>1</v>
      </c>
      <c r="I26" s="3">
        <v>1.4217929717640321</v>
      </c>
      <c r="J26" s="3">
        <v>0.51354655031448437</v>
      </c>
      <c r="K26" s="4">
        <f>VLOOKUP(C26,[1]FWHM_Reference!$A$2:$B$16,2,FALSE)</f>
        <v>75</v>
      </c>
      <c r="L26" s="4">
        <f>VLOOKUP(F26,[1]FWHM_Reference!$A$2:$B$16,2,FALSE)</f>
        <v>120</v>
      </c>
      <c r="M26" s="4">
        <f t="shared" si="0"/>
        <v>45</v>
      </c>
    </row>
    <row r="27" spans="1:13" x14ac:dyDescent="0.2">
      <c r="A27" s="3">
        <v>26</v>
      </c>
      <c r="B27" s="3">
        <v>16</v>
      </c>
      <c r="C27" s="3" t="s">
        <v>22</v>
      </c>
      <c r="D27" s="3">
        <v>4</v>
      </c>
      <c r="E27" s="3">
        <v>283</v>
      </c>
      <c r="F27" s="3" t="s">
        <v>19</v>
      </c>
      <c r="G27" s="3">
        <v>4</v>
      </c>
      <c r="H27" s="3" t="b">
        <v>1</v>
      </c>
      <c r="I27" s="3">
        <v>1.4220042305120999</v>
      </c>
      <c r="J27" s="3">
        <v>0.51362285622079318</v>
      </c>
      <c r="K27" s="4">
        <f>VLOOKUP(C27,[1]FWHM_Reference!$A$2:$B$16,2,FALSE)</f>
        <v>100</v>
      </c>
      <c r="L27" s="4">
        <f>VLOOKUP(F27,[1]FWHM_Reference!$A$2:$B$16,2,FALSE)</f>
        <v>42</v>
      </c>
      <c r="M27" s="4">
        <f t="shared" si="0"/>
        <v>58</v>
      </c>
    </row>
    <row r="28" spans="1:13" x14ac:dyDescent="0.2">
      <c r="A28" s="3">
        <v>27</v>
      </c>
      <c r="B28" s="3">
        <v>15</v>
      </c>
      <c r="C28" s="3" t="s">
        <v>21</v>
      </c>
      <c r="D28" s="3">
        <v>4</v>
      </c>
      <c r="E28" s="3">
        <v>95</v>
      </c>
      <c r="F28" s="3" t="s">
        <v>25</v>
      </c>
      <c r="G28" s="3">
        <v>4</v>
      </c>
      <c r="H28" s="3" t="b">
        <v>1</v>
      </c>
      <c r="I28" s="3">
        <v>1.42478326673584</v>
      </c>
      <c r="J28" s="3">
        <v>0.51462663419286336</v>
      </c>
      <c r="K28" s="4">
        <f>VLOOKUP(C28,[1]FWHM_Reference!$A$2:$B$16,2,FALSE)</f>
        <v>91</v>
      </c>
      <c r="L28" s="4">
        <f>VLOOKUP(F28,[1]FWHM_Reference!$A$2:$B$16,2,FALSE)</f>
        <v>105</v>
      </c>
      <c r="M28" s="4">
        <f t="shared" si="0"/>
        <v>14</v>
      </c>
    </row>
    <row r="29" spans="1:13" x14ac:dyDescent="0.2">
      <c r="A29" s="3">
        <v>28</v>
      </c>
      <c r="B29" s="3">
        <v>144</v>
      </c>
      <c r="C29" s="3" t="s">
        <v>14</v>
      </c>
      <c r="D29" s="3">
        <v>2</v>
      </c>
      <c r="E29" s="3">
        <v>180</v>
      </c>
      <c r="F29" s="3" t="s">
        <v>18</v>
      </c>
      <c r="G29" s="3">
        <v>2</v>
      </c>
      <c r="H29" s="3" t="b">
        <v>1</v>
      </c>
      <c r="I29" s="3">
        <v>1.436520670737345</v>
      </c>
      <c r="J29" s="3">
        <v>0.5188661426545923</v>
      </c>
      <c r="K29" s="4">
        <f>VLOOKUP(C29,[1]FWHM_Reference!$A$2:$B$16,2,FALSE)</f>
        <v>120</v>
      </c>
      <c r="L29" s="4">
        <f>VLOOKUP(F29,[1]FWHM_Reference!$A$2:$B$16,2,FALSE)</f>
        <v>69</v>
      </c>
      <c r="M29" s="4">
        <f t="shared" si="0"/>
        <v>51</v>
      </c>
    </row>
    <row r="30" spans="1:13" x14ac:dyDescent="0.2">
      <c r="A30" s="3">
        <v>29</v>
      </c>
      <c r="B30" s="3">
        <v>16</v>
      </c>
      <c r="C30" s="3" t="s">
        <v>22</v>
      </c>
      <c r="D30" s="3">
        <v>4</v>
      </c>
      <c r="E30" s="3">
        <v>171</v>
      </c>
      <c r="F30" s="3" t="s">
        <v>17</v>
      </c>
      <c r="G30" s="3">
        <v>4</v>
      </c>
      <c r="H30" s="3" t="b">
        <v>1</v>
      </c>
      <c r="I30" s="3">
        <v>1.4650021543650871</v>
      </c>
      <c r="J30" s="3">
        <v>0.52915355295647182</v>
      </c>
      <c r="K30" s="4">
        <f>VLOOKUP(C30,[1]FWHM_Reference!$A$2:$B$16,2,FALSE)</f>
        <v>100</v>
      </c>
      <c r="L30" s="4">
        <f>VLOOKUP(F30,[1]FWHM_Reference!$A$2:$B$16,2,FALSE)</f>
        <v>61</v>
      </c>
      <c r="M30" s="4">
        <f t="shared" si="0"/>
        <v>39</v>
      </c>
    </row>
    <row r="31" spans="1:13" x14ac:dyDescent="0.2">
      <c r="A31" s="3">
        <v>30</v>
      </c>
      <c r="B31" s="3">
        <v>15</v>
      </c>
      <c r="C31" s="3" t="s">
        <v>21</v>
      </c>
      <c r="D31" s="3">
        <v>4</v>
      </c>
      <c r="E31" s="3">
        <v>283</v>
      </c>
      <c r="F31" s="3" t="s">
        <v>19</v>
      </c>
      <c r="G31" s="3">
        <v>4</v>
      </c>
      <c r="H31" s="3" t="b">
        <v>1</v>
      </c>
      <c r="I31" s="3">
        <v>1.494344540936513</v>
      </c>
      <c r="J31" s="3">
        <v>0.53975191833104108</v>
      </c>
      <c r="K31" s="4">
        <f>VLOOKUP(C31,[1]FWHM_Reference!$A$2:$B$16,2,FALSE)</f>
        <v>91</v>
      </c>
      <c r="L31" s="4">
        <f>VLOOKUP(F31,[1]FWHM_Reference!$A$2:$B$16,2,FALSE)</f>
        <v>42</v>
      </c>
      <c r="M31" s="4">
        <f t="shared" si="0"/>
        <v>49</v>
      </c>
    </row>
    <row r="32" spans="1:13" x14ac:dyDescent="0.2">
      <c r="A32" s="3">
        <v>31</v>
      </c>
      <c r="B32" s="3">
        <v>15</v>
      </c>
      <c r="C32" s="3" t="s">
        <v>21</v>
      </c>
      <c r="D32" s="3">
        <v>4</v>
      </c>
      <c r="E32" s="3">
        <v>17</v>
      </c>
      <c r="F32" s="3" t="s">
        <v>12</v>
      </c>
      <c r="G32" s="3">
        <v>2</v>
      </c>
      <c r="H32" s="3" t="b">
        <v>0</v>
      </c>
      <c r="I32" s="3">
        <v>1.500430353683339</v>
      </c>
      <c r="J32" s="3">
        <v>0.5419500921890219</v>
      </c>
      <c r="K32" s="4">
        <f>VLOOKUP(C32,[1]FWHM_Reference!$A$2:$B$16,2,FALSE)</f>
        <v>91</v>
      </c>
      <c r="L32" s="4">
        <f>VLOOKUP(F32,[1]FWHM_Reference!$A$2:$B$16,2,FALSE)</f>
        <v>77</v>
      </c>
      <c r="M32" s="4">
        <f t="shared" si="0"/>
        <v>14</v>
      </c>
    </row>
    <row r="33" spans="1:13" x14ac:dyDescent="0.2">
      <c r="A33" s="3">
        <v>32</v>
      </c>
      <c r="B33" s="3">
        <v>15</v>
      </c>
      <c r="C33" s="3" t="s">
        <v>21</v>
      </c>
      <c r="D33" s="3">
        <v>4</v>
      </c>
      <c r="E33" s="3">
        <v>111</v>
      </c>
      <c r="F33" s="3" t="s">
        <v>13</v>
      </c>
      <c r="G33" s="3">
        <v>2</v>
      </c>
      <c r="H33" s="3" t="b">
        <v>0</v>
      </c>
      <c r="I33" s="3">
        <v>1.569204464572638</v>
      </c>
      <c r="J33" s="3">
        <v>0.56679105574669453</v>
      </c>
      <c r="K33" s="4">
        <f>VLOOKUP(C33,[1]FWHM_Reference!$A$2:$B$16,2,FALSE)</f>
        <v>91</v>
      </c>
      <c r="L33" s="4">
        <f>VLOOKUP(F33,[1]FWHM_Reference!$A$2:$B$16,2,FALSE)</f>
        <v>75</v>
      </c>
      <c r="M33" s="4">
        <f t="shared" si="0"/>
        <v>16</v>
      </c>
    </row>
    <row r="34" spans="1:13" x14ac:dyDescent="0.2">
      <c r="A34" s="3">
        <v>33</v>
      </c>
      <c r="B34" s="3">
        <v>199</v>
      </c>
      <c r="C34" s="3" t="s">
        <v>24</v>
      </c>
      <c r="D34" s="3">
        <v>4</v>
      </c>
      <c r="E34" s="3">
        <v>261</v>
      </c>
      <c r="F34" s="3" t="s">
        <v>23</v>
      </c>
      <c r="G34" s="3">
        <v>4</v>
      </c>
      <c r="H34" s="3" t="b">
        <v>1</v>
      </c>
      <c r="I34" s="3">
        <v>1.588462950038068</v>
      </c>
      <c r="J34" s="3">
        <v>0.57374715200786963</v>
      </c>
      <c r="K34" s="4">
        <f>VLOOKUP(C34,[1]FWHM_Reference!$A$2:$B$16,2,FALSE)</f>
        <v>100</v>
      </c>
      <c r="L34" s="4">
        <f>VLOOKUP(F34,[1]FWHM_Reference!$A$2:$B$16,2,FALSE)</f>
        <v>65</v>
      </c>
      <c r="M34" s="4">
        <f t="shared" si="0"/>
        <v>35</v>
      </c>
    </row>
    <row r="35" spans="1:13" x14ac:dyDescent="0.2">
      <c r="A35" s="3">
        <v>34</v>
      </c>
      <c r="B35" s="3">
        <v>14</v>
      </c>
      <c r="C35" s="3" t="s">
        <v>16</v>
      </c>
      <c r="D35" s="3">
        <v>4</v>
      </c>
      <c r="E35" s="3">
        <v>261</v>
      </c>
      <c r="F35" s="3" t="s">
        <v>23</v>
      </c>
      <c r="G35" s="3">
        <v>4</v>
      </c>
      <c r="H35" s="3" t="b">
        <v>1</v>
      </c>
      <c r="I35" s="3">
        <v>1.591339905770051</v>
      </c>
      <c r="J35" s="3">
        <v>0.57478629815706916</v>
      </c>
      <c r="K35" s="4">
        <f>VLOOKUP(C35,[1]FWHM_Reference!$A$2:$B$16,2,FALSE)</f>
        <v>51</v>
      </c>
      <c r="L35" s="4">
        <f>VLOOKUP(F35,[1]FWHM_Reference!$A$2:$B$16,2,FALSE)</f>
        <v>65</v>
      </c>
      <c r="M35" s="4">
        <f t="shared" si="0"/>
        <v>14</v>
      </c>
    </row>
    <row r="36" spans="1:13" x14ac:dyDescent="0.2">
      <c r="A36" s="3">
        <v>35</v>
      </c>
      <c r="B36" s="3">
        <v>15</v>
      </c>
      <c r="C36" s="3" t="s">
        <v>21</v>
      </c>
      <c r="D36" s="3">
        <v>4</v>
      </c>
      <c r="E36" s="3">
        <v>180</v>
      </c>
      <c r="F36" s="3" t="s">
        <v>18</v>
      </c>
      <c r="G36" s="3">
        <v>2</v>
      </c>
      <c r="H36" s="3" t="b">
        <v>0</v>
      </c>
      <c r="I36" s="3">
        <v>1.63512615243677</v>
      </c>
      <c r="J36" s="3">
        <v>0.59060173428136897</v>
      </c>
      <c r="K36" s="4">
        <f>VLOOKUP(C36,[1]FWHM_Reference!$A$2:$B$16,2,FALSE)</f>
        <v>91</v>
      </c>
      <c r="L36" s="4">
        <f>VLOOKUP(F36,[1]FWHM_Reference!$A$2:$B$16,2,FALSE)</f>
        <v>69</v>
      </c>
      <c r="M36" s="4">
        <f t="shared" si="0"/>
        <v>22</v>
      </c>
    </row>
    <row r="37" spans="1:13" x14ac:dyDescent="0.2">
      <c r="A37" s="3">
        <v>36</v>
      </c>
      <c r="B37" s="3">
        <v>16</v>
      </c>
      <c r="C37" s="3" t="s">
        <v>22</v>
      </c>
      <c r="D37" s="3">
        <v>4</v>
      </c>
      <c r="E37" s="3">
        <v>142</v>
      </c>
      <c r="F37" s="3" t="s">
        <v>15</v>
      </c>
      <c r="G37" s="3">
        <v>2</v>
      </c>
      <c r="H37" s="3" t="b">
        <v>0</v>
      </c>
      <c r="I37" s="3">
        <v>1.640783715667864</v>
      </c>
      <c r="J37" s="3">
        <v>0.59264522594169811</v>
      </c>
      <c r="K37" s="4">
        <f>VLOOKUP(C37,[1]FWHM_Reference!$A$2:$B$16,2,FALSE)</f>
        <v>100</v>
      </c>
      <c r="L37" s="4">
        <f>VLOOKUP(F37,[1]FWHM_Reference!$A$2:$B$16,2,FALSE)</f>
        <v>75</v>
      </c>
      <c r="M37" s="4">
        <f t="shared" si="0"/>
        <v>25</v>
      </c>
    </row>
    <row r="38" spans="1:13" x14ac:dyDescent="0.2">
      <c r="A38" s="3">
        <v>37</v>
      </c>
      <c r="B38" s="3">
        <v>14</v>
      </c>
      <c r="C38" s="3" t="s">
        <v>16</v>
      </c>
      <c r="D38" s="3">
        <v>4</v>
      </c>
      <c r="E38" s="3">
        <v>15</v>
      </c>
      <c r="F38" s="3" t="s">
        <v>21</v>
      </c>
      <c r="G38" s="3">
        <v>4</v>
      </c>
      <c r="H38" s="3" t="b">
        <v>1</v>
      </c>
      <c r="I38" s="3">
        <v>1.649092844241671</v>
      </c>
      <c r="J38" s="3">
        <v>0.59564645354651902</v>
      </c>
      <c r="K38" s="4">
        <f>VLOOKUP(C38,[1]FWHM_Reference!$A$2:$B$16,2,FALSE)</f>
        <v>51</v>
      </c>
      <c r="L38" s="4">
        <f>VLOOKUP(F38,[1]FWHM_Reference!$A$2:$B$16,2,FALSE)</f>
        <v>91</v>
      </c>
      <c r="M38" s="4">
        <f t="shared" si="0"/>
        <v>40</v>
      </c>
    </row>
    <row r="39" spans="1:13" x14ac:dyDescent="0.2">
      <c r="A39" s="3">
        <v>38</v>
      </c>
      <c r="B39" s="3">
        <v>15</v>
      </c>
      <c r="C39" s="3" t="s">
        <v>21</v>
      </c>
      <c r="D39" s="3">
        <v>4</v>
      </c>
      <c r="E39" s="3">
        <v>142</v>
      </c>
      <c r="F39" s="3" t="s">
        <v>15</v>
      </c>
      <c r="G39" s="3">
        <v>2</v>
      </c>
      <c r="H39" s="3" t="b">
        <v>0</v>
      </c>
      <c r="I39" s="3">
        <v>1.656355929117638</v>
      </c>
      <c r="J39" s="3">
        <v>0.59826985389858733</v>
      </c>
      <c r="K39" s="4">
        <f>VLOOKUP(C39,[1]FWHM_Reference!$A$2:$B$16,2,FALSE)</f>
        <v>91</v>
      </c>
      <c r="L39" s="4">
        <f>VLOOKUP(F39,[1]FWHM_Reference!$A$2:$B$16,2,FALSE)</f>
        <v>75</v>
      </c>
      <c r="M39" s="4">
        <f t="shared" si="0"/>
        <v>16</v>
      </c>
    </row>
    <row r="40" spans="1:13" x14ac:dyDescent="0.2">
      <c r="A40" s="3">
        <v>39</v>
      </c>
      <c r="B40" s="3">
        <v>261</v>
      </c>
      <c r="C40" s="3" t="s">
        <v>23</v>
      </c>
      <c r="D40" s="3">
        <v>4</v>
      </c>
      <c r="E40" s="3">
        <v>283</v>
      </c>
      <c r="F40" s="3" t="s">
        <v>19</v>
      </c>
      <c r="G40" s="3">
        <v>4</v>
      </c>
      <c r="H40" s="3" t="b">
        <v>1</v>
      </c>
      <c r="I40" s="3">
        <v>1.664227677731607</v>
      </c>
      <c r="J40" s="3">
        <v>0.60111310142191055</v>
      </c>
      <c r="K40" s="4">
        <f>VLOOKUP(C40,[1]FWHM_Reference!$A$2:$B$16,2,FALSE)</f>
        <v>65</v>
      </c>
      <c r="L40" s="4">
        <f>VLOOKUP(F40,[1]FWHM_Reference!$A$2:$B$16,2,FALSE)</f>
        <v>42</v>
      </c>
      <c r="M40" s="4">
        <f t="shared" si="0"/>
        <v>23</v>
      </c>
    </row>
    <row r="41" spans="1:13" x14ac:dyDescent="0.2">
      <c r="A41" s="3">
        <v>40</v>
      </c>
      <c r="B41" s="3">
        <v>171</v>
      </c>
      <c r="C41" s="3" t="s">
        <v>17</v>
      </c>
      <c r="D41" s="3">
        <v>4</v>
      </c>
      <c r="E41" s="3">
        <v>261</v>
      </c>
      <c r="F41" s="3" t="s">
        <v>23</v>
      </c>
      <c r="G41" s="3">
        <v>4</v>
      </c>
      <c r="H41" s="3" t="b">
        <v>1</v>
      </c>
      <c r="I41" s="3">
        <v>1.688336800332594</v>
      </c>
      <c r="J41" s="3">
        <v>0.60982123051575787</v>
      </c>
      <c r="K41" s="4">
        <f>VLOOKUP(C41,[1]FWHM_Reference!$A$2:$B$16,2,FALSE)</f>
        <v>61</v>
      </c>
      <c r="L41" s="4">
        <f>VLOOKUP(F41,[1]FWHM_Reference!$A$2:$B$16,2,FALSE)</f>
        <v>65</v>
      </c>
      <c r="M41" s="4">
        <f t="shared" si="0"/>
        <v>4</v>
      </c>
    </row>
    <row r="42" spans="1:13" x14ac:dyDescent="0.2">
      <c r="A42" s="3">
        <v>41</v>
      </c>
      <c r="B42" s="3">
        <v>15</v>
      </c>
      <c r="C42" s="3" t="s">
        <v>21</v>
      </c>
      <c r="D42" s="3">
        <v>4</v>
      </c>
      <c r="E42" s="3">
        <v>171</v>
      </c>
      <c r="F42" s="3" t="s">
        <v>17</v>
      </c>
      <c r="G42" s="3">
        <v>4</v>
      </c>
      <c r="H42" s="3" t="b">
        <v>1</v>
      </c>
      <c r="I42" s="3">
        <v>1.7086926159543729</v>
      </c>
      <c r="J42" s="3">
        <v>0.61717367851557603</v>
      </c>
      <c r="K42" s="4">
        <f>VLOOKUP(C42,[1]FWHM_Reference!$A$2:$B$16,2,FALSE)</f>
        <v>91</v>
      </c>
      <c r="L42" s="4">
        <f>VLOOKUP(F42,[1]FWHM_Reference!$A$2:$B$16,2,FALSE)</f>
        <v>61</v>
      </c>
      <c r="M42" s="4">
        <f t="shared" si="0"/>
        <v>30</v>
      </c>
    </row>
    <row r="43" spans="1:13" x14ac:dyDescent="0.2">
      <c r="A43" s="3">
        <v>42</v>
      </c>
      <c r="B43" s="3">
        <v>17</v>
      </c>
      <c r="C43" s="3" t="s">
        <v>12</v>
      </c>
      <c r="D43" s="3">
        <v>2</v>
      </c>
      <c r="E43" s="3">
        <v>261</v>
      </c>
      <c r="F43" s="3" t="s">
        <v>23</v>
      </c>
      <c r="G43" s="3">
        <v>4</v>
      </c>
      <c r="H43" s="3" t="b">
        <v>0</v>
      </c>
      <c r="I43" s="3">
        <v>1.7159925812863761</v>
      </c>
      <c r="J43" s="3">
        <v>0.61981039995682385</v>
      </c>
      <c r="K43" s="4">
        <f>VLOOKUP(C43,[1]FWHM_Reference!$A$2:$B$16,2,FALSE)</f>
        <v>77</v>
      </c>
      <c r="L43" s="4">
        <f>VLOOKUP(F43,[1]FWHM_Reference!$A$2:$B$16,2,FALSE)</f>
        <v>65</v>
      </c>
      <c r="M43" s="4">
        <f t="shared" si="0"/>
        <v>12</v>
      </c>
    </row>
    <row r="44" spans="1:13" x14ac:dyDescent="0.2">
      <c r="A44" s="3">
        <v>43</v>
      </c>
      <c r="B44" s="3">
        <v>16</v>
      </c>
      <c r="C44" s="3" t="s">
        <v>22</v>
      </c>
      <c r="D44" s="3">
        <v>4</v>
      </c>
      <c r="E44" s="3">
        <v>199</v>
      </c>
      <c r="F44" s="3" t="s">
        <v>24</v>
      </c>
      <c r="G44" s="3">
        <v>4</v>
      </c>
      <c r="H44" s="3" t="b">
        <v>1</v>
      </c>
      <c r="I44" s="3">
        <v>1.718269914065607</v>
      </c>
      <c r="J44" s="3">
        <v>0.62063296443415483</v>
      </c>
      <c r="K44" s="4">
        <f>VLOOKUP(C44,[1]FWHM_Reference!$A$2:$B$16,2,FALSE)</f>
        <v>100</v>
      </c>
      <c r="L44" s="4">
        <f>VLOOKUP(F44,[1]FWHM_Reference!$A$2:$B$16,2,FALSE)</f>
        <v>100</v>
      </c>
      <c r="M44" s="4">
        <f t="shared" si="0"/>
        <v>0</v>
      </c>
    </row>
    <row r="45" spans="1:13" x14ac:dyDescent="0.2">
      <c r="A45" s="3">
        <v>44</v>
      </c>
      <c r="B45" s="3">
        <v>144</v>
      </c>
      <c r="C45" s="3" t="s">
        <v>14</v>
      </c>
      <c r="D45" s="3">
        <v>2</v>
      </c>
      <c r="E45" s="3">
        <v>199</v>
      </c>
      <c r="F45" s="3" t="s">
        <v>24</v>
      </c>
      <c r="G45" s="3">
        <v>4</v>
      </c>
      <c r="H45" s="3" t="b">
        <v>0</v>
      </c>
      <c r="I45" s="3">
        <v>1.7244530226000041</v>
      </c>
      <c r="J45" s="3">
        <v>0.622866281183583</v>
      </c>
      <c r="K45" s="4">
        <f>VLOOKUP(C45,[1]FWHM_Reference!$A$2:$B$16,2,FALSE)</f>
        <v>120</v>
      </c>
      <c r="L45" s="4">
        <f>VLOOKUP(F45,[1]FWHM_Reference!$A$2:$B$16,2,FALSE)</f>
        <v>100</v>
      </c>
      <c r="M45" s="4">
        <f t="shared" si="0"/>
        <v>20</v>
      </c>
    </row>
    <row r="46" spans="1:13" x14ac:dyDescent="0.2">
      <c r="A46" s="3">
        <v>45</v>
      </c>
      <c r="B46" s="3">
        <v>16</v>
      </c>
      <c r="C46" s="3" t="s">
        <v>22</v>
      </c>
      <c r="D46" s="3">
        <v>4</v>
      </c>
      <c r="E46" s="3">
        <v>17</v>
      </c>
      <c r="F46" s="3" t="s">
        <v>12</v>
      </c>
      <c r="G46" s="3">
        <v>2</v>
      </c>
      <c r="H46" s="3" t="b">
        <v>0</v>
      </c>
      <c r="I46" s="3">
        <v>1.7402918412266939</v>
      </c>
      <c r="J46" s="3">
        <v>0.62858720597947737</v>
      </c>
      <c r="K46" s="4">
        <f>VLOOKUP(C46,[1]FWHM_Reference!$A$2:$B$16,2,FALSE)</f>
        <v>100</v>
      </c>
      <c r="L46" s="4">
        <f>VLOOKUP(F46,[1]FWHM_Reference!$A$2:$B$16,2,FALSE)</f>
        <v>77</v>
      </c>
      <c r="M46" s="4">
        <f t="shared" si="0"/>
        <v>23</v>
      </c>
    </row>
    <row r="47" spans="1:13" x14ac:dyDescent="0.2">
      <c r="A47" s="3">
        <v>46</v>
      </c>
      <c r="B47" s="3">
        <v>95</v>
      </c>
      <c r="C47" s="3" t="s">
        <v>25</v>
      </c>
      <c r="D47" s="3">
        <v>4</v>
      </c>
      <c r="E47" s="3">
        <v>283</v>
      </c>
      <c r="F47" s="3" t="s">
        <v>19</v>
      </c>
      <c r="G47" s="3">
        <v>4</v>
      </c>
      <c r="H47" s="3" t="b">
        <v>1</v>
      </c>
      <c r="I47" s="3">
        <v>1.7530699988197389</v>
      </c>
      <c r="J47" s="3">
        <v>0.63320263092643136</v>
      </c>
      <c r="K47" s="4">
        <f>VLOOKUP(C47,[1]FWHM_Reference!$A$2:$B$16,2,FALSE)</f>
        <v>105</v>
      </c>
      <c r="L47" s="4">
        <f>VLOOKUP(F47,[1]FWHM_Reference!$A$2:$B$16,2,FALSE)</f>
        <v>42</v>
      </c>
      <c r="M47" s="4">
        <f t="shared" si="0"/>
        <v>63</v>
      </c>
    </row>
    <row r="48" spans="1:13" x14ac:dyDescent="0.2">
      <c r="A48" s="3">
        <v>47</v>
      </c>
      <c r="B48" s="3">
        <v>16</v>
      </c>
      <c r="C48" s="3" t="s">
        <v>22</v>
      </c>
      <c r="D48" s="3">
        <v>4</v>
      </c>
      <c r="E48" s="3">
        <v>95</v>
      </c>
      <c r="F48" s="3" t="s">
        <v>25</v>
      </c>
      <c r="G48" s="3">
        <v>4</v>
      </c>
      <c r="H48" s="3" t="b">
        <v>1</v>
      </c>
      <c r="I48" s="3">
        <v>1.753941028336218</v>
      </c>
      <c r="J48" s="3">
        <v>0.6335172436810963</v>
      </c>
      <c r="K48" s="4">
        <f>VLOOKUP(C48,[1]FWHM_Reference!$A$2:$B$16,2,FALSE)</f>
        <v>100</v>
      </c>
      <c r="L48" s="4">
        <f>VLOOKUP(F48,[1]FWHM_Reference!$A$2:$B$16,2,FALSE)</f>
        <v>105</v>
      </c>
      <c r="M48" s="4">
        <f t="shared" si="0"/>
        <v>5</v>
      </c>
    </row>
    <row r="49" spans="1:13" x14ac:dyDescent="0.2">
      <c r="A49" s="3">
        <v>48</v>
      </c>
      <c r="B49" s="3">
        <v>16</v>
      </c>
      <c r="C49" s="3" t="s">
        <v>22</v>
      </c>
      <c r="D49" s="3">
        <v>4</v>
      </c>
      <c r="E49" s="3">
        <v>111</v>
      </c>
      <c r="F49" s="3" t="s">
        <v>13</v>
      </c>
      <c r="G49" s="3">
        <v>2</v>
      </c>
      <c r="H49" s="3" t="b">
        <v>0</v>
      </c>
      <c r="I49" s="3">
        <v>1.754618338445151</v>
      </c>
      <c r="J49" s="3">
        <v>0.63376188567669134</v>
      </c>
      <c r="K49" s="4">
        <f>VLOOKUP(C49,[1]FWHM_Reference!$A$2:$B$16,2,FALSE)</f>
        <v>100</v>
      </c>
      <c r="L49" s="4">
        <f>VLOOKUP(F49,[1]FWHM_Reference!$A$2:$B$16,2,FALSE)</f>
        <v>75</v>
      </c>
      <c r="M49" s="4">
        <f t="shared" si="0"/>
        <v>25</v>
      </c>
    </row>
    <row r="50" spans="1:13" x14ac:dyDescent="0.2">
      <c r="A50" s="3">
        <v>49</v>
      </c>
      <c r="B50" s="3">
        <v>144</v>
      </c>
      <c r="C50" s="3" t="s">
        <v>14</v>
      </c>
      <c r="D50" s="3">
        <v>2</v>
      </c>
      <c r="E50" s="3">
        <v>261</v>
      </c>
      <c r="F50" s="3" t="s">
        <v>23</v>
      </c>
      <c r="G50" s="3">
        <v>4</v>
      </c>
      <c r="H50" s="3" t="b">
        <v>0</v>
      </c>
      <c r="I50" s="3">
        <v>1.807189523315915</v>
      </c>
      <c r="J50" s="3">
        <v>0.65275041014719115</v>
      </c>
      <c r="K50" s="4">
        <f>VLOOKUP(C50,[1]FWHM_Reference!$A$2:$B$16,2,FALSE)</f>
        <v>120</v>
      </c>
      <c r="L50" s="4">
        <f>VLOOKUP(F50,[1]FWHM_Reference!$A$2:$B$16,2,FALSE)</f>
        <v>65</v>
      </c>
      <c r="M50" s="4">
        <f t="shared" si="0"/>
        <v>55</v>
      </c>
    </row>
    <row r="51" spans="1:13" x14ac:dyDescent="0.2">
      <c r="A51" s="3">
        <v>50</v>
      </c>
      <c r="B51" s="3">
        <v>15</v>
      </c>
      <c r="C51" s="3" t="s">
        <v>21</v>
      </c>
      <c r="D51" s="3">
        <v>4</v>
      </c>
      <c r="E51" s="3">
        <v>157</v>
      </c>
      <c r="F51" s="3" t="s">
        <v>26</v>
      </c>
      <c r="G51" s="3">
        <v>2</v>
      </c>
      <c r="H51" s="3" t="b">
        <v>0</v>
      </c>
      <c r="I51" s="3">
        <v>1.814545504828422</v>
      </c>
      <c r="J51" s="3">
        <v>0.65540736443304481</v>
      </c>
      <c r="K51" s="4">
        <f>VLOOKUP(C51,[1]FWHM_Reference!$A$2:$B$16,2,FALSE)</f>
        <v>91</v>
      </c>
      <c r="L51" s="4">
        <f>VLOOKUP(F51,[1]FWHM_Reference!$A$2:$B$16,2,FALSE)</f>
        <v>61</v>
      </c>
      <c r="M51" s="4">
        <f t="shared" si="0"/>
        <v>30</v>
      </c>
    </row>
    <row r="52" spans="1:13" x14ac:dyDescent="0.2">
      <c r="A52" s="3">
        <v>51</v>
      </c>
      <c r="B52" s="3">
        <v>111</v>
      </c>
      <c r="C52" s="3" t="s">
        <v>13</v>
      </c>
      <c r="D52" s="3">
        <v>2</v>
      </c>
      <c r="E52" s="3">
        <v>261</v>
      </c>
      <c r="F52" s="3" t="s">
        <v>23</v>
      </c>
      <c r="G52" s="3">
        <v>4</v>
      </c>
      <c r="H52" s="3" t="b">
        <v>0</v>
      </c>
      <c r="I52" s="3">
        <v>1.8330539483442101</v>
      </c>
      <c r="J52" s="3">
        <v>0.66209254821717245</v>
      </c>
      <c r="K52" s="4">
        <f>VLOOKUP(C52,[1]FWHM_Reference!$A$2:$B$16,2,FALSE)</f>
        <v>75</v>
      </c>
      <c r="L52" s="4">
        <f>VLOOKUP(F52,[1]FWHM_Reference!$A$2:$B$16,2,FALSE)</f>
        <v>65</v>
      </c>
      <c r="M52" s="4">
        <f t="shared" si="0"/>
        <v>10</v>
      </c>
    </row>
    <row r="53" spans="1:13" x14ac:dyDescent="0.2">
      <c r="A53" s="3">
        <v>52</v>
      </c>
      <c r="B53" s="3">
        <v>153</v>
      </c>
      <c r="C53" s="3" t="s">
        <v>20</v>
      </c>
      <c r="D53" s="3">
        <v>2</v>
      </c>
      <c r="E53" s="3">
        <v>157</v>
      </c>
      <c r="F53" s="3" t="s">
        <v>26</v>
      </c>
      <c r="G53" s="3">
        <v>2</v>
      </c>
      <c r="H53" s="3" t="b">
        <v>1</v>
      </c>
      <c r="I53" s="3">
        <v>1.834497255712968</v>
      </c>
      <c r="J53" s="3">
        <v>0.66261386569094605</v>
      </c>
      <c r="K53" s="4">
        <f>VLOOKUP(C53,[1]FWHM_Reference!$A$2:$B$16,2,FALSE)</f>
        <v>68</v>
      </c>
      <c r="L53" s="4">
        <f>VLOOKUP(F53,[1]FWHM_Reference!$A$2:$B$16,2,FALSE)</f>
        <v>61</v>
      </c>
      <c r="M53" s="4">
        <f t="shared" si="0"/>
        <v>7</v>
      </c>
    </row>
    <row r="54" spans="1:13" x14ac:dyDescent="0.2">
      <c r="A54" s="3">
        <v>53</v>
      </c>
      <c r="B54" s="3">
        <v>15</v>
      </c>
      <c r="C54" s="3" t="s">
        <v>21</v>
      </c>
      <c r="D54" s="3">
        <v>4</v>
      </c>
      <c r="E54" s="3">
        <v>144</v>
      </c>
      <c r="F54" s="3" t="s">
        <v>14</v>
      </c>
      <c r="G54" s="3">
        <v>2</v>
      </c>
      <c r="H54" s="3" t="b">
        <v>0</v>
      </c>
      <c r="I54" s="3">
        <v>1.837249447213781</v>
      </c>
      <c r="J54" s="3">
        <v>0.66360794744484142</v>
      </c>
      <c r="K54" s="4">
        <f>VLOOKUP(C54,[1]FWHM_Reference!$A$2:$B$16,2,FALSE)</f>
        <v>91</v>
      </c>
      <c r="L54" s="4">
        <f>VLOOKUP(F54,[1]FWHM_Reference!$A$2:$B$16,2,FALSE)</f>
        <v>120</v>
      </c>
      <c r="M54" s="4">
        <f t="shared" si="0"/>
        <v>29</v>
      </c>
    </row>
    <row r="55" spans="1:13" x14ac:dyDescent="0.2">
      <c r="A55" s="3">
        <v>54</v>
      </c>
      <c r="B55" s="3">
        <v>111</v>
      </c>
      <c r="C55" s="3" t="s">
        <v>13</v>
      </c>
      <c r="D55" s="3">
        <v>2</v>
      </c>
      <c r="E55" s="3">
        <v>199</v>
      </c>
      <c r="F55" s="3" t="s">
        <v>24</v>
      </c>
      <c r="G55" s="3">
        <v>4</v>
      </c>
      <c r="H55" s="3" t="b">
        <v>0</v>
      </c>
      <c r="I55" s="3">
        <v>1.857197190370371</v>
      </c>
      <c r="J55" s="3">
        <v>0.6708130011256993</v>
      </c>
      <c r="K55" s="4">
        <f>VLOOKUP(C55,[1]FWHM_Reference!$A$2:$B$16,2,FALSE)</f>
        <v>75</v>
      </c>
      <c r="L55" s="4">
        <f>VLOOKUP(F55,[1]FWHM_Reference!$A$2:$B$16,2,FALSE)</f>
        <v>100</v>
      </c>
      <c r="M55" s="4">
        <f t="shared" si="0"/>
        <v>25</v>
      </c>
    </row>
    <row r="56" spans="1:13" x14ac:dyDescent="0.2">
      <c r="A56" s="3">
        <v>55</v>
      </c>
      <c r="B56" s="3">
        <v>199</v>
      </c>
      <c r="C56" s="3" t="s">
        <v>24</v>
      </c>
      <c r="D56" s="3">
        <v>4</v>
      </c>
      <c r="E56" s="3">
        <v>283</v>
      </c>
      <c r="F56" s="3" t="s">
        <v>19</v>
      </c>
      <c r="G56" s="3">
        <v>4</v>
      </c>
      <c r="H56" s="3" t="b">
        <v>1</v>
      </c>
      <c r="I56" s="3">
        <v>1.8715296038418341</v>
      </c>
      <c r="J56" s="3">
        <v>0.67598981775239741</v>
      </c>
      <c r="K56" s="4">
        <f>VLOOKUP(C56,[1]FWHM_Reference!$A$2:$B$16,2,FALSE)</f>
        <v>100</v>
      </c>
      <c r="L56" s="4">
        <f>VLOOKUP(F56,[1]FWHM_Reference!$A$2:$B$16,2,FALSE)</f>
        <v>42</v>
      </c>
      <c r="M56" s="4">
        <f t="shared" si="0"/>
        <v>58</v>
      </c>
    </row>
    <row r="57" spans="1:13" x14ac:dyDescent="0.2">
      <c r="A57" s="3">
        <v>56</v>
      </c>
      <c r="B57" s="3">
        <v>95</v>
      </c>
      <c r="C57" s="3" t="s">
        <v>25</v>
      </c>
      <c r="D57" s="3">
        <v>4</v>
      </c>
      <c r="E57" s="3">
        <v>157</v>
      </c>
      <c r="F57" s="3" t="s">
        <v>26</v>
      </c>
      <c r="G57" s="3">
        <v>2</v>
      </c>
      <c r="H57" s="3" t="b">
        <v>0</v>
      </c>
      <c r="I57" s="3">
        <v>1.8909175993355021</v>
      </c>
      <c r="J57" s="3">
        <v>0.68299269257385098</v>
      </c>
      <c r="K57" s="4">
        <f>VLOOKUP(C57,[1]FWHM_Reference!$A$2:$B$16,2,FALSE)</f>
        <v>105</v>
      </c>
      <c r="L57" s="4">
        <f>VLOOKUP(F57,[1]FWHM_Reference!$A$2:$B$16,2,FALSE)</f>
        <v>61</v>
      </c>
      <c r="M57" s="4">
        <f t="shared" si="0"/>
        <v>44</v>
      </c>
    </row>
    <row r="58" spans="1:13" x14ac:dyDescent="0.2">
      <c r="A58" s="3">
        <v>57</v>
      </c>
      <c r="B58" s="3">
        <v>171</v>
      </c>
      <c r="C58" s="3" t="s">
        <v>17</v>
      </c>
      <c r="D58" s="3">
        <v>4</v>
      </c>
      <c r="E58" s="3">
        <v>199</v>
      </c>
      <c r="F58" s="3" t="s">
        <v>24</v>
      </c>
      <c r="G58" s="3">
        <v>4</v>
      </c>
      <c r="H58" s="3" t="b">
        <v>1</v>
      </c>
      <c r="I58" s="3">
        <v>1.892809718416997</v>
      </c>
      <c r="J58" s="3">
        <v>0.68367611923749549</v>
      </c>
      <c r="K58" s="4">
        <f>VLOOKUP(C58,[1]FWHM_Reference!$A$2:$B$16,2,FALSE)</f>
        <v>61</v>
      </c>
      <c r="L58" s="4">
        <f>VLOOKUP(F58,[1]FWHM_Reference!$A$2:$B$16,2,FALSE)</f>
        <v>100</v>
      </c>
      <c r="M58" s="4">
        <f t="shared" si="0"/>
        <v>39</v>
      </c>
    </row>
    <row r="59" spans="1:13" x14ac:dyDescent="0.2">
      <c r="A59" s="3">
        <v>58</v>
      </c>
      <c r="B59" s="3">
        <v>157</v>
      </c>
      <c r="C59" s="3" t="s">
        <v>26</v>
      </c>
      <c r="D59" s="3">
        <v>2</v>
      </c>
      <c r="E59" s="3">
        <v>171</v>
      </c>
      <c r="F59" s="3" t="s">
        <v>17</v>
      </c>
      <c r="G59" s="3">
        <v>4</v>
      </c>
      <c r="H59" s="3" t="b">
        <v>0</v>
      </c>
      <c r="I59" s="3">
        <v>1.911817886826799</v>
      </c>
      <c r="J59" s="3">
        <v>0.69054180187097991</v>
      </c>
      <c r="K59" s="4">
        <f>VLOOKUP(C59,[1]FWHM_Reference!$A$2:$B$16,2,FALSE)</f>
        <v>61</v>
      </c>
      <c r="L59" s="4">
        <f>VLOOKUP(F59,[1]FWHM_Reference!$A$2:$B$16,2,FALSE)</f>
        <v>61</v>
      </c>
      <c r="M59" s="4">
        <f t="shared" si="0"/>
        <v>0</v>
      </c>
    </row>
    <row r="60" spans="1:13" x14ac:dyDescent="0.2">
      <c r="A60" s="3">
        <v>59</v>
      </c>
      <c r="B60" s="3">
        <v>95</v>
      </c>
      <c r="C60" s="3" t="s">
        <v>25</v>
      </c>
      <c r="D60" s="3">
        <v>4</v>
      </c>
      <c r="E60" s="3">
        <v>199</v>
      </c>
      <c r="F60" s="3" t="s">
        <v>24</v>
      </c>
      <c r="G60" s="3">
        <v>4</v>
      </c>
      <c r="H60" s="3" t="b">
        <v>1</v>
      </c>
      <c r="I60" s="3">
        <v>1.924027100445727</v>
      </c>
      <c r="J60" s="3">
        <v>0.69495172628372603</v>
      </c>
      <c r="K60" s="4">
        <f>VLOOKUP(C60,[1]FWHM_Reference!$A$2:$B$16,2,FALSE)</f>
        <v>105</v>
      </c>
      <c r="L60" s="4">
        <f>VLOOKUP(F60,[1]FWHM_Reference!$A$2:$B$16,2,FALSE)</f>
        <v>100</v>
      </c>
      <c r="M60" s="4">
        <f t="shared" si="0"/>
        <v>5</v>
      </c>
    </row>
    <row r="61" spans="1:13" x14ac:dyDescent="0.2">
      <c r="A61" s="3">
        <v>60</v>
      </c>
      <c r="B61" s="3">
        <v>15</v>
      </c>
      <c r="C61" s="3" t="s">
        <v>21</v>
      </c>
      <c r="D61" s="3">
        <v>4</v>
      </c>
      <c r="E61" s="3">
        <v>153</v>
      </c>
      <c r="F61" s="3" t="s">
        <v>20</v>
      </c>
      <c r="G61" s="3">
        <v>2</v>
      </c>
      <c r="H61" s="3" t="b">
        <v>0</v>
      </c>
      <c r="I61" s="3">
        <v>1.9453110909349409</v>
      </c>
      <c r="J61" s="3">
        <v>0.70263942773515531</v>
      </c>
      <c r="K61" s="4">
        <f>VLOOKUP(C61,[1]FWHM_Reference!$A$2:$B$16,2,FALSE)</f>
        <v>91</v>
      </c>
      <c r="L61" s="4">
        <f>VLOOKUP(F61,[1]FWHM_Reference!$A$2:$B$16,2,FALSE)</f>
        <v>68</v>
      </c>
      <c r="M61" s="4">
        <f t="shared" si="0"/>
        <v>23</v>
      </c>
    </row>
    <row r="62" spans="1:13" x14ac:dyDescent="0.2">
      <c r="A62" s="3">
        <v>61</v>
      </c>
      <c r="B62" s="3">
        <v>95</v>
      </c>
      <c r="C62" s="3" t="s">
        <v>25</v>
      </c>
      <c r="D62" s="3">
        <v>4</v>
      </c>
      <c r="E62" s="3">
        <v>153</v>
      </c>
      <c r="F62" s="3" t="s">
        <v>20</v>
      </c>
      <c r="G62" s="3">
        <v>2</v>
      </c>
      <c r="H62" s="3" t="b">
        <v>0</v>
      </c>
      <c r="I62" s="3">
        <v>1.9596836004279601</v>
      </c>
      <c r="J62" s="3">
        <v>0.70783072690182958</v>
      </c>
      <c r="K62" s="4">
        <f>VLOOKUP(C62,[1]FWHM_Reference!$A$2:$B$16,2,FALSE)</f>
        <v>105</v>
      </c>
      <c r="L62" s="4">
        <f>VLOOKUP(F62,[1]FWHM_Reference!$A$2:$B$16,2,FALSE)</f>
        <v>68</v>
      </c>
      <c r="M62" s="4">
        <f t="shared" si="0"/>
        <v>37</v>
      </c>
    </row>
    <row r="63" spans="1:13" x14ac:dyDescent="0.2">
      <c r="A63" s="3">
        <v>62</v>
      </c>
      <c r="B63" s="3">
        <v>153</v>
      </c>
      <c r="C63" s="3" t="s">
        <v>20</v>
      </c>
      <c r="D63" s="3">
        <v>2</v>
      </c>
      <c r="E63" s="3">
        <v>261</v>
      </c>
      <c r="F63" s="3" t="s">
        <v>23</v>
      </c>
      <c r="G63" s="3">
        <v>4</v>
      </c>
      <c r="H63" s="3" t="b">
        <v>0</v>
      </c>
      <c r="I63" s="3">
        <v>1.9615084637626821</v>
      </c>
      <c r="J63" s="3">
        <v>0.70848986102961964</v>
      </c>
      <c r="K63" s="4">
        <f>VLOOKUP(C63,[1]FWHM_Reference!$A$2:$B$16,2,FALSE)</f>
        <v>68</v>
      </c>
      <c r="L63" s="4">
        <f>VLOOKUP(F63,[1]FWHM_Reference!$A$2:$B$16,2,FALSE)</f>
        <v>65</v>
      </c>
      <c r="M63" s="4">
        <f t="shared" si="0"/>
        <v>3</v>
      </c>
    </row>
    <row r="64" spans="1:13" x14ac:dyDescent="0.2">
      <c r="A64" s="3">
        <v>63</v>
      </c>
      <c r="B64" s="3">
        <v>16</v>
      </c>
      <c r="C64" s="3" t="s">
        <v>22</v>
      </c>
      <c r="D64" s="3">
        <v>4</v>
      </c>
      <c r="E64" s="3">
        <v>180</v>
      </c>
      <c r="F64" s="3" t="s">
        <v>18</v>
      </c>
      <c r="G64" s="3">
        <v>2</v>
      </c>
      <c r="H64" s="3" t="b">
        <v>0</v>
      </c>
      <c r="I64" s="3">
        <v>1.965614485304116</v>
      </c>
      <c r="J64" s="3">
        <v>0.70997294136550304</v>
      </c>
      <c r="K64" s="4">
        <f>VLOOKUP(C64,[1]FWHM_Reference!$A$2:$B$16,2,FALSE)</f>
        <v>100</v>
      </c>
      <c r="L64" s="4">
        <f>VLOOKUP(F64,[1]FWHM_Reference!$A$2:$B$16,2,FALSE)</f>
        <v>69</v>
      </c>
      <c r="M64" s="4">
        <f t="shared" si="0"/>
        <v>31</v>
      </c>
    </row>
    <row r="65" spans="1:13" x14ac:dyDescent="0.2">
      <c r="A65" s="3">
        <v>64</v>
      </c>
      <c r="B65" s="3">
        <v>17</v>
      </c>
      <c r="C65" s="3" t="s">
        <v>12</v>
      </c>
      <c r="D65" s="3">
        <v>2</v>
      </c>
      <c r="E65" s="3">
        <v>157</v>
      </c>
      <c r="F65" s="3" t="s">
        <v>26</v>
      </c>
      <c r="G65" s="3">
        <v>2</v>
      </c>
      <c r="H65" s="3" t="b">
        <v>1</v>
      </c>
      <c r="I65" s="3">
        <v>1.9959353498522849</v>
      </c>
      <c r="J65" s="3">
        <v>0.7209247294953498</v>
      </c>
      <c r="K65" s="4">
        <f>VLOOKUP(C65,[1]FWHM_Reference!$A$2:$B$16,2,FALSE)</f>
        <v>77</v>
      </c>
      <c r="L65" s="4">
        <f>VLOOKUP(F65,[1]FWHM_Reference!$A$2:$B$16,2,FALSE)</f>
        <v>61</v>
      </c>
      <c r="M65" s="4">
        <f t="shared" si="0"/>
        <v>16</v>
      </c>
    </row>
    <row r="66" spans="1:13" x14ac:dyDescent="0.2">
      <c r="A66" s="3">
        <v>65</v>
      </c>
      <c r="B66" s="3">
        <v>16</v>
      </c>
      <c r="C66" s="3" t="s">
        <v>22</v>
      </c>
      <c r="D66" s="3">
        <v>4</v>
      </c>
      <c r="E66" s="3">
        <v>153</v>
      </c>
      <c r="F66" s="3" t="s">
        <v>20</v>
      </c>
      <c r="G66" s="3">
        <v>2</v>
      </c>
      <c r="H66" s="3" t="b">
        <v>0</v>
      </c>
      <c r="I66" s="3">
        <v>1.9990180670847879</v>
      </c>
      <c r="J66" s="3">
        <v>0.7220381959646508</v>
      </c>
      <c r="K66" s="4">
        <f>VLOOKUP(C66,[1]FWHM_Reference!$A$2:$B$16,2,FALSE)</f>
        <v>100</v>
      </c>
      <c r="L66" s="4">
        <f>VLOOKUP(F66,[1]FWHM_Reference!$A$2:$B$16,2,FALSE)</f>
        <v>68</v>
      </c>
      <c r="M66" s="4">
        <f t="shared" ref="M66:M106" si="1">ABS(K66-L66)</f>
        <v>32</v>
      </c>
    </row>
    <row r="67" spans="1:13" x14ac:dyDescent="0.2">
      <c r="A67" s="3">
        <v>66</v>
      </c>
      <c r="B67" s="3">
        <v>16</v>
      </c>
      <c r="C67" s="3" t="s">
        <v>22</v>
      </c>
      <c r="D67" s="3">
        <v>4</v>
      </c>
      <c r="E67" s="3">
        <v>144</v>
      </c>
      <c r="F67" s="3" t="s">
        <v>14</v>
      </c>
      <c r="G67" s="3">
        <v>2</v>
      </c>
      <c r="H67" s="3" t="b">
        <v>0</v>
      </c>
      <c r="I67" s="3">
        <v>2.0022643395021329</v>
      </c>
      <c r="J67" s="3">
        <v>0.72321073798336688</v>
      </c>
      <c r="K67" s="4">
        <f>VLOOKUP(C67,[1]FWHM_Reference!$A$2:$B$16,2,FALSE)</f>
        <v>100</v>
      </c>
      <c r="L67" s="4">
        <f>VLOOKUP(F67,[1]FWHM_Reference!$A$2:$B$16,2,FALSE)</f>
        <v>120</v>
      </c>
      <c r="M67" s="4">
        <f t="shared" si="1"/>
        <v>20</v>
      </c>
    </row>
    <row r="68" spans="1:13" x14ac:dyDescent="0.2">
      <c r="A68" s="3">
        <v>67</v>
      </c>
      <c r="B68" s="3">
        <v>17</v>
      </c>
      <c r="C68" s="3" t="s">
        <v>12</v>
      </c>
      <c r="D68" s="3">
        <v>2</v>
      </c>
      <c r="E68" s="3">
        <v>95</v>
      </c>
      <c r="F68" s="3" t="s">
        <v>25</v>
      </c>
      <c r="G68" s="3">
        <v>4</v>
      </c>
      <c r="H68" s="3" t="b">
        <v>0</v>
      </c>
      <c r="I68" s="3">
        <v>2.02211237402136</v>
      </c>
      <c r="J68" s="3">
        <v>0.73037977726003844</v>
      </c>
      <c r="K68" s="4">
        <f>VLOOKUP(C68,[1]FWHM_Reference!$A$2:$B$16,2,FALSE)</f>
        <v>77</v>
      </c>
      <c r="L68" s="4">
        <f>VLOOKUP(F68,[1]FWHM_Reference!$A$2:$B$16,2,FALSE)</f>
        <v>105</v>
      </c>
      <c r="M68" s="4">
        <f t="shared" si="1"/>
        <v>28</v>
      </c>
    </row>
    <row r="69" spans="1:13" x14ac:dyDescent="0.2">
      <c r="A69" s="3">
        <v>68</v>
      </c>
      <c r="B69" s="3">
        <v>14</v>
      </c>
      <c r="C69" s="3" t="s">
        <v>16</v>
      </c>
      <c r="D69" s="3">
        <v>4</v>
      </c>
      <c r="E69" s="3">
        <v>199</v>
      </c>
      <c r="F69" s="3" t="s">
        <v>24</v>
      </c>
      <c r="G69" s="3">
        <v>4</v>
      </c>
      <c r="H69" s="3" t="b">
        <v>1</v>
      </c>
      <c r="I69" s="3">
        <v>2.025762424657112</v>
      </c>
      <c r="J69" s="3">
        <v>0.73169816253109377</v>
      </c>
      <c r="K69" s="4">
        <f>VLOOKUP(C69,[1]FWHM_Reference!$A$2:$B$16,2,FALSE)</f>
        <v>51</v>
      </c>
      <c r="L69" s="4">
        <f>VLOOKUP(F69,[1]FWHM_Reference!$A$2:$B$16,2,FALSE)</f>
        <v>100</v>
      </c>
      <c r="M69" s="4">
        <f t="shared" si="1"/>
        <v>49</v>
      </c>
    </row>
    <row r="70" spans="1:13" x14ac:dyDescent="0.2">
      <c r="A70" s="3">
        <v>69</v>
      </c>
      <c r="B70" s="3">
        <v>142</v>
      </c>
      <c r="C70" s="3" t="s">
        <v>15</v>
      </c>
      <c r="D70" s="3">
        <v>2</v>
      </c>
      <c r="E70" s="3">
        <v>157</v>
      </c>
      <c r="F70" s="3" t="s">
        <v>26</v>
      </c>
      <c r="G70" s="3">
        <v>2</v>
      </c>
      <c r="H70" s="3" t="b">
        <v>1</v>
      </c>
      <c r="I70" s="3">
        <v>2.029331800640326</v>
      </c>
      <c r="J70" s="3">
        <v>0.73298740840539334</v>
      </c>
      <c r="K70" s="4">
        <f>VLOOKUP(C70,[1]FWHM_Reference!$A$2:$B$16,2,FALSE)</f>
        <v>75</v>
      </c>
      <c r="L70" s="4">
        <f>VLOOKUP(F70,[1]FWHM_Reference!$A$2:$B$16,2,FALSE)</f>
        <v>61</v>
      </c>
      <c r="M70" s="4">
        <f t="shared" si="1"/>
        <v>14</v>
      </c>
    </row>
    <row r="71" spans="1:13" x14ac:dyDescent="0.2">
      <c r="A71" s="3">
        <v>70</v>
      </c>
      <c r="B71" s="3">
        <v>16</v>
      </c>
      <c r="C71" s="3" t="s">
        <v>22</v>
      </c>
      <c r="D71" s="3">
        <v>4</v>
      </c>
      <c r="E71" s="3">
        <v>157</v>
      </c>
      <c r="F71" s="3" t="s">
        <v>26</v>
      </c>
      <c r="G71" s="3">
        <v>2</v>
      </c>
      <c r="H71" s="3" t="b">
        <v>0</v>
      </c>
      <c r="I71" s="3">
        <v>2.046331367347372</v>
      </c>
      <c r="J71" s="3">
        <v>0.73912759126789029</v>
      </c>
      <c r="K71" s="4">
        <f>VLOOKUP(C71,[1]FWHM_Reference!$A$2:$B$16,2,FALSE)</f>
        <v>100</v>
      </c>
      <c r="L71" s="4">
        <f>VLOOKUP(F71,[1]FWHM_Reference!$A$2:$B$16,2,FALSE)</f>
        <v>61</v>
      </c>
      <c r="M71" s="4">
        <f t="shared" si="1"/>
        <v>39</v>
      </c>
    </row>
    <row r="72" spans="1:13" x14ac:dyDescent="0.2">
      <c r="A72" s="3">
        <v>71</v>
      </c>
      <c r="B72" s="3">
        <v>153</v>
      </c>
      <c r="C72" s="3" t="s">
        <v>20</v>
      </c>
      <c r="D72" s="3">
        <v>2</v>
      </c>
      <c r="E72" s="3">
        <v>171</v>
      </c>
      <c r="F72" s="3" t="s">
        <v>17</v>
      </c>
      <c r="G72" s="3">
        <v>4</v>
      </c>
      <c r="H72" s="3" t="b">
        <v>0</v>
      </c>
      <c r="I72" s="3">
        <v>2.0589238813992972</v>
      </c>
      <c r="J72" s="3">
        <v>0.74367596242992351</v>
      </c>
      <c r="K72" s="4">
        <f>VLOOKUP(C72,[1]FWHM_Reference!$A$2:$B$16,2,FALSE)</f>
        <v>68</v>
      </c>
      <c r="L72" s="4">
        <f>VLOOKUP(F72,[1]FWHM_Reference!$A$2:$B$16,2,FALSE)</f>
        <v>61</v>
      </c>
      <c r="M72" s="4">
        <f t="shared" si="1"/>
        <v>7</v>
      </c>
    </row>
    <row r="73" spans="1:13" x14ac:dyDescent="0.2">
      <c r="A73" s="3">
        <v>72</v>
      </c>
      <c r="B73" s="3">
        <v>111</v>
      </c>
      <c r="C73" s="3" t="s">
        <v>13</v>
      </c>
      <c r="D73" s="3">
        <v>2</v>
      </c>
      <c r="E73" s="3">
        <v>157</v>
      </c>
      <c r="F73" s="3" t="s">
        <v>26</v>
      </c>
      <c r="G73" s="3">
        <v>2</v>
      </c>
      <c r="H73" s="3" t="b">
        <v>1</v>
      </c>
      <c r="I73" s="3">
        <v>2.0761091896842032</v>
      </c>
      <c r="J73" s="3">
        <v>0.74988323448786209</v>
      </c>
      <c r="K73" s="4">
        <f>VLOOKUP(C73,[1]FWHM_Reference!$A$2:$B$16,2,FALSE)</f>
        <v>75</v>
      </c>
      <c r="L73" s="4">
        <f>VLOOKUP(F73,[1]FWHM_Reference!$A$2:$B$16,2,FALSE)</f>
        <v>61</v>
      </c>
      <c r="M73" s="4">
        <f t="shared" si="1"/>
        <v>14</v>
      </c>
    </row>
    <row r="74" spans="1:13" x14ac:dyDescent="0.2">
      <c r="A74" s="3">
        <v>73</v>
      </c>
      <c r="B74" s="3">
        <v>95</v>
      </c>
      <c r="C74" s="3" t="s">
        <v>25</v>
      </c>
      <c r="D74" s="3">
        <v>4</v>
      </c>
      <c r="E74" s="3">
        <v>180</v>
      </c>
      <c r="F74" s="3" t="s">
        <v>18</v>
      </c>
      <c r="G74" s="3">
        <v>2</v>
      </c>
      <c r="H74" s="3" t="b">
        <v>0</v>
      </c>
      <c r="I74" s="3">
        <v>2.100648571163652</v>
      </c>
      <c r="J74" s="3">
        <v>0.75874677155401227</v>
      </c>
      <c r="K74" s="4">
        <f>VLOOKUP(C74,[1]FWHM_Reference!$A$2:$B$16,2,FALSE)</f>
        <v>105</v>
      </c>
      <c r="L74" s="4">
        <f>VLOOKUP(F74,[1]FWHM_Reference!$A$2:$B$16,2,FALSE)</f>
        <v>69</v>
      </c>
      <c r="M74" s="4">
        <f t="shared" si="1"/>
        <v>36</v>
      </c>
    </row>
    <row r="75" spans="1:13" x14ac:dyDescent="0.2">
      <c r="A75" s="3">
        <v>74</v>
      </c>
      <c r="B75" s="3">
        <v>180</v>
      </c>
      <c r="C75" s="3" t="s">
        <v>18</v>
      </c>
      <c r="D75" s="3">
        <v>2</v>
      </c>
      <c r="E75" s="3">
        <v>261</v>
      </c>
      <c r="F75" s="3" t="s">
        <v>23</v>
      </c>
      <c r="G75" s="3">
        <v>4</v>
      </c>
      <c r="H75" s="3" t="b">
        <v>0</v>
      </c>
      <c r="I75" s="3">
        <v>2.108062320035279</v>
      </c>
      <c r="J75" s="3">
        <v>0.76142459120394212</v>
      </c>
      <c r="K75" s="4">
        <f>VLOOKUP(C75,[1]FWHM_Reference!$A$2:$B$16,2,FALSE)</f>
        <v>69</v>
      </c>
      <c r="L75" s="4">
        <f>VLOOKUP(F75,[1]FWHM_Reference!$A$2:$B$16,2,FALSE)</f>
        <v>65</v>
      </c>
      <c r="M75" s="4">
        <f t="shared" si="1"/>
        <v>4</v>
      </c>
    </row>
    <row r="76" spans="1:13" x14ac:dyDescent="0.2">
      <c r="A76" s="3">
        <v>75</v>
      </c>
      <c r="B76" s="3">
        <v>17</v>
      </c>
      <c r="C76" s="3" t="s">
        <v>12</v>
      </c>
      <c r="D76" s="3">
        <v>2</v>
      </c>
      <c r="E76" s="3">
        <v>199</v>
      </c>
      <c r="F76" s="3" t="s">
        <v>24</v>
      </c>
      <c r="G76" s="3">
        <v>4</v>
      </c>
      <c r="H76" s="3" t="b">
        <v>0</v>
      </c>
      <c r="I76" s="3">
        <v>2.1142775185647911</v>
      </c>
      <c r="J76" s="3">
        <v>0.76366949874515067</v>
      </c>
      <c r="K76" s="4">
        <f>VLOOKUP(C76,[1]FWHM_Reference!$A$2:$B$16,2,FALSE)</f>
        <v>77</v>
      </c>
      <c r="L76" s="4">
        <f>VLOOKUP(F76,[1]FWHM_Reference!$A$2:$B$16,2,FALSE)</f>
        <v>100</v>
      </c>
      <c r="M76" s="4">
        <f t="shared" si="1"/>
        <v>23</v>
      </c>
    </row>
    <row r="77" spans="1:13" x14ac:dyDescent="0.2">
      <c r="A77" s="3">
        <v>76</v>
      </c>
      <c r="B77" s="3">
        <v>95</v>
      </c>
      <c r="C77" s="3" t="s">
        <v>25</v>
      </c>
      <c r="D77" s="3">
        <v>4</v>
      </c>
      <c r="E77" s="3">
        <v>111</v>
      </c>
      <c r="F77" s="3" t="s">
        <v>13</v>
      </c>
      <c r="G77" s="3">
        <v>2</v>
      </c>
      <c r="H77" s="3" t="b">
        <v>0</v>
      </c>
      <c r="I77" s="3">
        <v>2.126014070214413</v>
      </c>
      <c r="J77" s="3">
        <v>0.76790869934041961</v>
      </c>
      <c r="K77" s="4">
        <f>VLOOKUP(C77,[1]FWHM_Reference!$A$2:$B$16,2,FALSE)</f>
        <v>105</v>
      </c>
      <c r="L77" s="4">
        <f>VLOOKUP(F77,[1]FWHM_Reference!$A$2:$B$16,2,FALSE)</f>
        <v>75</v>
      </c>
      <c r="M77" s="4">
        <f t="shared" si="1"/>
        <v>30</v>
      </c>
    </row>
    <row r="78" spans="1:13" x14ac:dyDescent="0.2">
      <c r="A78" s="3">
        <v>77</v>
      </c>
      <c r="B78" s="3">
        <v>180</v>
      </c>
      <c r="C78" s="3" t="s">
        <v>18</v>
      </c>
      <c r="D78" s="3">
        <v>2</v>
      </c>
      <c r="E78" s="3">
        <v>199</v>
      </c>
      <c r="F78" s="3" t="s">
        <v>24</v>
      </c>
      <c r="G78" s="3">
        <v>4</v>
      </c>
      <c r="H78" s="3" t="b">
        <v>0</v>
      </c>
      <c r="I78" s="3">
        <v>2.1422043339874559</v>
      </c>
      <c r="J78" s="3">
        <v>0.77375656486968292</v>
      </c>
      <c r="K78" s="4">
        <f>VLOOKUP(C78,[1]FWHM_Reference!$A$2:$B$16,2,FALSE)</f>
        <v>69</v>
      </c>
      <c r="L78" s="4">
        <f>VLOOKUP(F78,[1]FWHM_Reference!$A$2:$B$16,2,FALSE)</f>
        <v>100</v>
      </c>
      <c r="M78" s="4">
        <f t="shared" si="1"/>
        <v>31</v>
      </c>
    </row>
    <row r="79" spans="1:13" x14ac:dyDescent="0.2">
      <c r="A79" s="3">
        <v>78</v>
      </c>
      <c r="B79" s="3">
        <v>142</v>
      </c>
      <c r="C79" s="3" t="s">
        <v>15</v>
      </c>
      <c r="D79" s="3">
        <v>2</v>
      </c>
      <c r="E79" s="3">
        <v>199</v>
      </c>
      <c r="F79" s="3" t="s">
        <v>24</v>
      </c>
      <c r="G79" s="3">
        <v>4</v>
      </c>
      <c r="H79" s="3" t="b">
        <v>0</v>
      </c>
      <c r="I79" s="3">
        <v>2.16492777581175</v>
      </c>
      <c r="J79" s="3">
        <v>0.78196419100927472</v>
      </c>
      <c r="K79" s="4">
        <f>VLOOKUP(C79,[1]FWHM_Reference!$A$2:$B$16,2,FALSE)</f>
        <v>75</v>
      </c>
      <c r="L79" s="4">
        <f>VLOOKUP(F79,[1]FWHM_Reference!$A$2:$B$16,2,FALSE)</f>
        <v>100</v>
      </c>
      <c r="M79" s="4">
        <f t="shared" si="1"/>
        <v>25</v>
      </c>
    </row>
    <row r="80" spans="1:13" x14ac:dyDescent="0.2">
      <c r="A80" s="3">
        <v>79</v>
      </c>
      <c r="B80" s="3">
        <v>142</v>
      </c>
      <c r="C80" s="3" t="s">
        <v>15</v>
      </c>
      <c r="D80" s="3">
        <v>2</v>
      </c>
      <c r="E80" s="3">
        <v>171</v>
      </c>
      <c r="F80" s="3" t="s">
        <v>17</v>
      </c>
      <c r="G80" s="3">
        <v>4</v>
      </c>
      <c r="H80" s="3" t="b">
        <v>0</v>
      </c>
      <c r="I80" s="3">
        <v>2.1665729504442748</v>
      </c>
      <c r="J80" s="3">
        <v>0.78255842221872407</v>
      </c>
      <c r="K80" s="4">
        <f>VLOOKUP(C80,[1]FWHM_Reference!$A$2:$B$16,2,FALSE)</f>
        <v>75</v>
      </c>
      <c r="L80" s="4">
        <f>VLOOKUP(F80,[1]FWHM_Reference!$A$2:$B$16,2,FALSE)</f>
        <v>61</v>
      </c>
      <c r="M80" s="4">
        <f t="shared" si="1"/>
        <v>14</v>
      </c>
    </row>
    <row r="81" spans="1:13" x14ac:dyDescent="0.2">
      <c r="A81" s="3">
        <v>80</v>
      </c>
      <c r="B81" s="3">
        <v>142</v>
      </c>
      <c r="C81" s="3" t="s">
        <v>15</v>
      </c>
      <c r="D81" s="3">
        <v>2</v>
      </c>
      <c r="E81" s="3">
        <v>261</v>
      </c>
      <c r="F81" s="3" t="s">
        <v>23</v>
      </c>
      <c r="G81" s="3">
        <v>4</v>
      </c>
      <c r="H81" s="3" t="b">
        <v>0</v>
      </c>
      <c r="I81" s="3">
        <v>2.175601446320083</v>
      </c>
      <c r="J81" s="3">
        <v>0.7858194827272712</v>
      </c>
      <c r="K81" s="4">
        <f>VLOOKUP(C81,[1]FWHM_Reference!$A$2:$B$16,2,FALSE)</f>
        <v>75</v>
      </c>
      <c r="L81" s="4">
        <f>VLOOKUP(F81,[1]FWHM_Reference!$A$2:$B$16,2,FALSE)</f>
        <v>65</v>
      </c>
      <c r="M81" s="4">
        <f t="shared" si="1"/>
        <v>10</v>
      </c>
    </row>
    <row r="82" spans="1:13" x14ac:dyDescent="0.2">
      <c r="A82" s="3">
        <v>81</v>
      </c>
      <c r="B82" s="3">
        <v>153</v>
      </c>
      <c r="C82" s="3" t="s">
        <v>20</v>
      </c>
      <c r="D82" s="3">
        <v>2</v>
      </c>
      <c r="E82" s="3">
        <v>199</v>
      </c>
      <c r="F82" s="3" t="s">
        <v>24</v>
      </c>
      <c r="G82" s="3">
        <v>4</v>
      </c>
      <c r="H82" s="3" t="b">
        <v>0</v>
      </c>
      <c r="I82" s="3">
        <v>2.1826398266352749</v>
      </c>
      <c r="J82" s="3">
        <v>0.78836172059343812</v>
      </c>
      <c r="K82" s="4">
        <f>VLOOKUP(C82,[1]FWHM_Reference!$A$2:$B$16,2,FALSE)</f>
        <v>68</v>
      </c>
      <c r="L82" s="4">
        <f>VLOOKUP(F82,[1]FWHM_Reference!$A$2:$B$16,2,FALSE)</f>
        <v>100</v>
      </c>
      <c r="M82" s="4">
        <f t="shared" si="1"/>
        <v>32</v>
      </c>
    </row>
    <row r="83" spans="1:13" x14ac:dyDescent="0.2">
      <c r="A83" s="3">
        <v>82</v>
      </c>
      <c r="B83" s="3">
        <v>111</v>
      </c>
      <c r="C83" s="3" t="s">
        <v>13</v>
      </c>
      <c r="D83" s="3">
        <v>2</v>
      </c>
      <c r="E83" s="3">
        <v>171</v>
      </c>
      <c r="F83" s="3" t="s">
        <v>17</v>
      </c>
      <c r="G83" s="3">
        <v>4</v>
      </c>
      <c r="H83" s="3" t="b">
        <v>0</v>
      </c>
      <c r="I83" s="3">
        <v>2.1875230290803951</v>
      </c>
      <c r="J83" s="3">
        <v>0.79012551589977364</v>
      </c>
      <c r="K83" s="4">
        <f>VLOOKUP(C83,[1]FWHM_Reference!$A$2:$B$16,2,FALSE)</f>
        <v>75</v>
      </c>
      <c r="L83" s="4">
        <f>VLOOKUP(F83,[1]FWHM_Reference!$A$2:$B$16,2,FALSE)</f>
        <v>61</v>
      </c>
      <c r="M83" s="4">
        <f t="shared" si="1"/>
        <v>14</v>
      </c>
    </row>
    <row r="84" spans="1:13" x14ac:dyDescent="0.2">
      <c r="A84" s="3">
        <v>83</v>
      </c>
      <c r="B84" s="3">
        <v>157</v>
      </c>
      <c r="C84" s="3" t="s">
        <v>26</v>
      </c>
      <c r="D84" s="3">
        <v>2</v>
      </c>
      <c r="E84" s="3">
        <v>261</v>
      </c>
      <c r="F84" s="3" t="s">
        <v>23</v>
      </c>
      <c r="G84" s="3">
        <v>4</v>
      </c>
      <c r="H84" s="3" t="b">
        <v>0</v>
      </c>
      <c r="I84" s="3">
        <v>2.2122002931103819</v>
      </c>
      <c r="J84" s="3">
        <v>0.79903885565139487</v>
      </c>
      <c r="K84" s="4">
        <f>VLOOKUP(C84,[1]FWHM_Reference!$A$2:$B$16,2,FALSE)</f>
        <v>61</v>
      </c>
      <c r="L84" s="4">
        <f>VLOOKUP(F84,[1]FWHM_Reference!$A$2:$B$16,2,FALSE)</f>
        <v>65</v>
      </c>
      <c r="M84" s="4">
        <f t="shared" si="1"/>
        <v>4</v>
      </c>
    </row>
    <row r="85" spans="1:13" x14ac:dyDescent="0.2">
      <c r="A85" s="3">
        <v>84</v>
      </c>
      <c r="B85" s="3">
        <v>17</v>
      </c>
      <c r="C85" s="3" t="s">
        <v>12</v>
      </c>
      <c r="D85" s="3">
        <v>2</v>
      </c>
      <c r="E85" s="3">
        <v>171</v>
      </c>
      <c r="F85" s="3" t="s">
        <v>17</v>
      </c>
      <c r="G85" s="3">
        <v>4</v>
      </c>
      <c r="H85" s="3" t="b">
        <v>0</v>
      </c>
      <c r="I85" s="3">
        <v>2.2526286325608069</v>
      </c>
      <c r="J85" s="3">
        <v>0.81364142766576419</v>
      </c>
      <c r="K85" s="4">
        <f>VLOOKUP(C85,[1]FWHM_Reference!$A$2:$B$16,2,FALSE)</f>
        <v>77</v>
      </c>
      <c r="L85" s="4">
        <f>VLOOKUP(F85,[1]FWHM_Reference!$A$2:$B$16,2,FALSE)</f>
        <v>61</v>
      </c>
      <c r="M85" s="4">
        <f t="shared" si="1"/>
        <v>16</v>
      </c>
    </row>
    <row r="86" spans="1:13" x14ac:dyDescent="0.2">
      <c r="A86" s="3">
        <v>85</v>
      </c>
      <c r="B86" s="3">
        <v>14</v>
      </c>
      <c r="C86" s="3" t="s">
        <v>16</v>
      </c>
      <c r="D86" s="3">
        <v>4</v>
      </c>
      <c r="E86" s="3">
        <v>157</v>
      </c>
      <c r="F86" s="3" t="s">
        <v>26</v>
      </c>
      <c r="G86" s="3">
        <v>2</v>
      </c>
      <c r="H86" s="3" t="b">
        <v>0</v>
      </c>
      <c r="I86" s="3">
        <v>2.2660196106019042</v>
      </c>
      <c r="J86" s="3">
        <v>0.81847820117281711</v>
      </c>
      <c r="K86" s="4">
        <f>VLOOKUP(C86,[1]FWHM_Reference!$A$2:$B$16,2,FALSE)</f>
        <v>51</v>
      </c>
      <c r="L86" s="4">
        <f>VLOOKUP(F86,[1]FWHM_Reference!$A$2:$B$16,2,FALSE)</f>
        <v>61</v>
      </c>
      <c r="M86" s="4">
        <f t="shared" si="1"/>
        <v>10</v>
      </c>
    </row>
    <row r="87" spans="1:13" x14ac:dyDescent="0.2">
      <c r="A87" s="3">
        <v>86</v>
      </c>
      <c r="B87" s="3">
        <v>157</v>
      </c>
      <c r="C87" s="3" t="s">
        <v>26</v>
      </c>
      <c r="D87" s="3">
        <v>2</v>
      </c>
      <c r="E87" s="3">
        <v>283</v>
      </c>
      <c r="F87" s="3" t="s">
        <v>19</v>
      </c>
      <c r="G87" s="3">
        <v>4</v>
      </c>
      <c r="H87" s="3" t="b">
        <v>0</v>
      </c>
      <c r="I87" s="3">
        <v>2.2880923014619561</v>
      </c>
      <c r="J87" s="3">
        <v>0.82645077838514769</v>
      </c>
      <c r="K87" s="4">
        <f>VLOOKUP(C87,[1]FWHM_Reference!$A$2:$B$16,2,FALSE)</f>
        <v>61</v>
      </c>
      <c r="L87" s="4">
        <f>VLOOKUP(F87,[1]FWHM_Reference!$A$2:$B$16,2,FALSE)</f>
        <v>42</v>
      </c>
      <c r="M87" s="4">
        <f t="shared" si="1"/>
        <v>19</v>
      </c>
    </row>
    <row r="88" spans="1:13" x14ac:dyDescent="0.2">
      <c r="A88" s="3">
        <v>87</v>
      </c>
      <c r="B88" s="3">
        <v>95</v>
      </c>
      <c r="C88" s="3" t="s">
        <v>25</v>
      </c>
      <c r="D88" s="3">
        <v>4</v>
      </c>
      <c r="E88" s="3">
        <v>144</v>
      </c>
      <c r="F88" s="3" t="s">
        <v>14</v>
      </c>
      <c r="G88" s="3">
        <v>2</v>
      </c>
      <c r="H88" s="3" t="b">
        <v>0</v>
      </c>
      <c r="I88" s="3">
        <v>2.288101685557498</v>
      </c>
      <c r="J88" s="3">
        <v>0.82645416788698767</v>
      </c>
      <c r="K88" s="4">
        <f>VLOOKUP(C88,[1]FWHM_Reference!$A$2:$B$16,2,FALSE)</f>
        <v>105</v>
      </c>
      <c r="L88" s="4">
        <f>VLOOKUP(F88,[1]FWHM_Reference!$A$2:$B$16,2,FALSE)</f>
        <v>120</v>
      </c>
      <c r="M88" s="4">
        <f t="shared" si="1"/>
        <v>15</v>
      </c>
    </row>
    <row r="89" spans="1:13" x14ac:dyDescent="0.2">
      <c r="A89" s="3">
        <v>88</v>
      </c>
      <c r="B89" s="3">
        <v>144</v>
      </c>
      <c r="C89" s="3" t="s">
        <v>14</v>
      </c>
      <c r="D89" s="3">
        <v>2</v>
      </c>
      <c r="E89" s="3">
        <v>157</v>
      </c>
      <c r="F89" s="3" t="s">
        <v>26</v>
      </c>
      <c r="G89" s="3">
        <v>2</v>
      </c>
      <c r="H89" s="3" t="b">
        <v>1</v>
      </c>
      <c r="I89" s="3">
        <v>2.2992445030261699</v>
      </c>
      <c r="J89" s="3">
        <v>0.83047891381375971</v>
      </c>
      <c r="K89" s="4">
        <f>VLOOKUP(C89,[1]FWHM_Reference!$A$2:$B$16,2,FALSE)</f>
        <v>120</v>
      </c>
      <c r="L89" s="4">
        <f>VLOOKUP(F89,[1]FWHM_Reference!$A$2:$B$16,2,FALSE)</f>
        <v>61</v>
      </c>
      <c r="M89" s="4">
        <f t="shared" si="1"/>
        <v>59</v>
      </c>
    </row>
    <row r="90" spans="1:13" x14ac:dyDescent="0.2">
      <c r="A90" s="3">
        <v>89</v>
      </c>
      <c r="B90" s="3">
        <v>95</v>
      </c>
      <c r="C90" s="3" t="s">
        <v>25</v>
      </c>
      <c r="D90" s="3">
        <v>4</v>
      </c>
      <c r="E90" s="3">
        <v>142</v>
      </c>
      <c r="F90" s="3" t="s">
        <v>15</v>
      </c>
      <c r="G90" s="3">
        <v>2</v>
      </c>
      <c r="H90" s="3" t="b">
        <v>0</v>
      </c>
      <c r="I90" s="3">
        <v>2.320530715751254</v>
      </c>
      <c r="J90" s="3">
        <v>0.83816741792885918</v>
      </c>
      <c r="K90" s="4">
        <f>VLOOKUP(C90,[1]FWHM_Reference!$A$2:$B$16,2,FALSE)</f>
        <v>105</v>
      </c>
      <c r="L90" s="4">
        <f>VLOOKUP(F90,[1]FWHM_Reference!$A$2:$B$16,2,FALSE)</f>
        <v>75</v>
      </c>
      <c r="M90" s="4">
        <f t="shared" si="1"/>
        <v>30</v>
      </c>
    </row>
    <row r="91" spans="1:13" x14ac:dyDescent="0.2">
      <c r="A91" s="3">
        <v>90</v>
      </c>
      <c r="B91" s="3">
        <v>157</v>
      </c>
      <c r="C91" s="3" t="s">
        <v>26</v>
      </c>
      <c r="D91" s="3">
        <v>2</v>
      </c>
      <c r="E91" s="3">
        <v>199</v>
      </c>
      <c r="F91" s="3" t="s">
        <v>24</v>
      </c>
      <c r="G91" s="3">
        <v>4</v>
      </c>
      <c r="H91" s="3" t="b">
        <v>0</v>
      </c>
      <c r="I91" s="3">
        <v>2.3268283767664562</v>
      </c>
      <c r="J91" s="3">
        <v>0.84044211062578122</v>
      </c>
      <c r="K91" s="4">
        <f>VLOOKUP(C91,[1]FWHM_Reference!$A$2:$B$16,2,FALSE)</f>
        <v>61</v>
      </c>
      <c r="L91" s="4">
        <f>VLOOKUP(F91,[1]FWHM_Reference!$A$2:$B$16,2,FALSE)</f>
        <v>100</v>
      </c>
      <c r="M91" s="4">
        <f t="shared" si="1"/>
        <v>39</v>
      </c>
    </row>
    <row r="92" spans="1:13" x14ac:dyDescent="0.2">
      <c r="A92" s="3">
        <v>91</v>
      </c>
      <c r="B92" s="3">
        <v>171</v>
      </c>
      <c r="C92" s="3" t="s">
        <v>17</v>
      </c>
      <c r="D92" s="3">
        <v>4</v>
      </c>
      <c r="E92" s="3">
        <v>180</v>
      </c>
      <c r="F92" s="3" t="s">
        <v>18</v>
      </c>
      <c r="G92" s="3">
        <v>2</v>
      </c>
      <c r="H92" s="3" t="b">
        <v>0</v>
      </c>
      <c r="I92" s="3">
        <v>2.3565029921391099</v>
      </c>
      <c r="J92" s="3">
        <v>0.85116047585839893</v>
      </c>
      <c r="K92" s="4">
        <f>VLOOKUP(C92,[1]FWHM_Reference!$A$2:$B$16,2,FALSE)</f>
        <v>61</v>
      </c>
      <c r="L92" s="4">
        <f>VLOOKUP(F92,[1]FWHM_Reference!$A$2:$B$16,2,FALSE)</f>
        <v>69</v>
      </c>
      <c r="M92" s="4">
        <f t="shared" si="1"/>
        <v>8</v>
      </c>
    </row>
    <row r="93" spans="1:13" x14ac:dyDescent="0.2">
      <c r="A93" s="3">
        <v>92</v>
      </c>
      <c r="B93" s="3">
        <v>14</v>
      </c>
      <c r="C93" s="3" t="s">
        <v>16</v>
      </c>
      <c r="D93" s="3">
        <v>4</v>
      </c>
      <c r="E93" s="3">
        <v>17</v>
      </c>
      <c r="F93" s="3" t="s">
        <v>12</v>
      </c>
      <c r="G93" s="3">
        <v>2</v>
      </c>
      <c r="H93" s="3" t="b">
        <v>0</v>
      </c>
      <c r="I93" s="3">
        <v>2.365882994924128</v>
      </c>
      <c r="J93" s="3">
        <v>0.85454849940883837</v>
      </c>
      <c r="K93" s="4">
        <f>VLOOKUP(C93,[1]FWHM_Reference!$A$2:$B$16,2,FALSE)</f>
        <v>51</v>
      </c>
      <c r="L93" s="4">
        <f>VLOOKUP(F93,[1]FWHM_Reference!$A$2:$B$16,2,FALSE)</f>
        <v>77</v>
      </c>
      <c r="M93" s="4">
        <f t="shared" si="1"/>
        <v>26</v>
      </c>
    </row>
    <row r="94" spans="1:13" x14ac:dyDescent="0.2">
      <c r="A94" s="3">
        <v>93</v>
      </c>
      <c r="B94" s="3">
        <v>144</v>
      </c>
      <c r="C94" s="3" t="s">
        <v>14</v>
      </c>
      <c r="D94" s="3">
        <v>2</v>
      </c>
      <c r="E94" s="3">
        <v>171</v>
      </c>
      <c r="F94" s="3" t="s">
        <v>17</v>
      </c>
      <c r="G94" s="3">
        <v>4</v>
      </c>
      <c r="H94" s="3" t="b">
        <v>0</v>
      </c>
      <c r="I94" s="3">
        <v>2.3724869821842418</v>
      </c>
      <c r="J94" s="3">
        <v>0.85693383605285389</v>
      </c>
      <c r="K94" s="4">
        <f>VLOOKUP(C94,[1]FWHM_Reference!$A$2:$B$16,2,FALSE)</f>
        <v>120</v>
      </c>
      <c r="L94" s="4">
        <f>VLOOKUP(F94,[1]FWHM_Reference!$A$2:$B$16,2,FALSE)</f>
        <v>61</v>
      </c>
      <c r="M94" s="4">
        <f t="shared" si="1"/>
        <v>59</v>
      </c>
    </row>
    <row r="95" spans="1:13" x14ac:dyDescent="0.2">
      <c r="A95" s="3">
        <v>94</v>
      </c>
      <c r="B95" s="3">
        <v>17</v>
      </c>
      <c r="C95" s="3" t="s">
        <v>12</v>
      </c>
      <c r="D95" s="3">
        <v>2</v>
      </c>
      <c r="E95" s="3">
        <v>283</v>
      </c>
      <c r="F95" s="3" t="s">
        <v>19</v>
      </c>
      <c r="G95" s="3">
        <v>4</v>
      </c>
      <c r="H95" s="3" t="b">
        <v>0</v>
      </c>
      <c r="I95" s="3">
        <v>2.3798200708023178</v>
      </c>
      <c r="J95" s="3">
        <v>0.85958252150689085</v>
      </c>
      <c r="K95" s="4">
        <f>VLOOKUP(C95,[1]FWHM_Reference!$A$2:$B$16,2,FALSE)</f>
        <v>77</v>
      </c>
      <c r="L95" s="4">
        <f>VLOOKUP(F95,[1]FWHM_Reference!$A$2:$B$16,2,FALSE)</f>
        <v>42</v>
      </c>
      <c r="M95" s="4">
        <f t="shared" si="1"/>
        <v>35</v>
      </c>
    </row>
    <row r="96" spans="1:13" x14ac:dyDescent="0.2">
      <c r="A96" s="3">
        <v>95</v>
      </c>
      <c r="B96" s="3">
        <v>142</v>
      </c>
      <c r="C96" s="3" t="s">
        <v>15</v>
      </c>
      <c r="D96" s="3">
        <v>2</v>
      </c>
      <c r="E96" s="3">
        <v>283</v>
      </c>
      <c r="F96" s="3" t="s">
        <v>19</v>
      </c>
      <c r="G96" s="3">
        <v>4</v>
      </c>
      <c r="H96" s="3" t="b">
        <v>0</v>
      </c>
      <c r="I96" s="3">
        <v>2.3861936177660472</v>
      </c>
      <c r="J96" s="3">
        <v>0.86188462393776</v>
      </c>
      <c r="K96" s="4">
        <f>VLOOKUP(C96,[1]FWHM_Reference!$A$2:$B$16,2,FALSE)</f>
        <v>75</v>
      </c>
      <c r="L96" s="4">
        <f>VLOOKUP(F96,[1]FWHM_Reference!$A$2:$B$16,2,FALSE)</f>
        <v>42</v>
      </c>
      <c r="M96" s="4">
        <f t="shared" si="1"/>
        <v>33</v>
      </c>
    </row>
    <row r="97" spans="1:13" x14ac:dyDescent="0.2">
      <c r="A97" s="3">
        <v>96</v>
      </c>
      <c r="B97" s="3">
        <v>111</v>
      </c>
      <c r="C97" s="3" t="s">
        <v>13</v>
      </c>
      <c r="D97" s="3">
        <v>2</v>
      </c>
      <c r="E97" s="3">
        <v>283</v>
      </c>
      <c r="F97" s="3" t="s">
        <v>19</v>
      </c>
      <c r="G97" s="3">
        <v>4</v>
      </c>
      <c r="H97" s="3" t="b">
        <v>0</v>
      </c>
      <c r="I97" s="3">
        <v>2.3899517996860968</v>
      </c>
      <c r="J97" s="3">
        <v>0.86324206584303353</v>
      </c>
      <c r="K97" s="4">
        <f>VLOOKUP(C97,[1]FWHM_Reference!$A$2:$B$16,2,FALSE)</f>
        <v>75</v>
      </c>
      <c r="L97" s="4">
        <f>VLOOKUP(F97,[1]FWHM_Reference!$A$2:$B$16,2,FALSE)</f>
        <v>42</v>
      </c>
      <c r="M97" s="4">
        <f t="shared" si="1"/>
        <v>33</v>
      </c>
    </row>
    <row r="98" spans="1:13" x14ac:dyDescent="0.2">
      <c r="A98" s="3">
        <v>97</v>
      </c>
      <c r="B98" s="3">
        <v>14</v>
      </c>
      <c r="C98" s="3" t="s">
        <v>16</v>
      </c>
      <c r="D98" s="3">
        <v>4</v>
      </c>
      <c r="E98" s="3">
        <v>111</v>
      </c>
      <c r="F98" s="3" t="s">
        <v>13</v>
      </c>
      <c r="G98" s="3">
        <v>2</v>
      </c>
      <c r="H98" s="3" t="b">
        <v>0</v>
      </c>
      <c r="I98" s="3">
        <v>2.435059090216205</v>
      </c>
      <c r="J98" s="3">
        <v>0.87953465829904309</v>
      </c>
      <c r="K98" s="4">
        <f>VLOOKUP(C98,[1]FWHM_Reference!$A$2:$B$16,2,FALSE)</f>
        <v>51</v>
      </c>
      <c r="L98" s="4">
        <f>VLOOKUP(F98,[1]FWHM_Reference!$A$2:$B$16,2,FALSE)</f>
        <v>75</v>
      </c>
      <c r="M98" s="4">
        <f t="shared" si="1"/>
        <v>24</v>
      </c>
    </row>
    <row r="99" spans="1:13" x14ac:dyDescent="0.2">
      <c r="A99" s="3">
        <v>98</v>
      </c>
      <c r="B99" s="3">
        <v>157</v>
      </c>
      <c r="C99" s="3" t="s">
        <v>26</v>
      </c>
      <c r="D99" s="3">
        <v>2</v>
      </c>
      <c r="E99" s="3">
        <v>180</v>
      </c>
      <c r="F99" s="3" t="s">
        <v>18</v>
      </c>
      <c r="G99" s="3">
        <v>2</v>
      </c>
      <c r="H99" s="3" t="b">
        <v>1</v>
      </c>
      <c r="I99" s="3">
        <v>2.449891311255747</v>
      </c>
      <c r="J99" s="3">
        <v>0.88489200363667575</v>
      </c>
      <c r="K99" s="4">
        <f>VLOOKUP(C99,[1]FWHM_Reference!$A$2:$B$16,2,FALSE)</f>
        <v>61</v>
      </c>
      <c r="L99" s="4">
        <f>VLOOKUP(F99,[1]FWHM_Reference!$A$2:$B$16,2,FALSE)</f>
        <v>69</v>
      </c>
      <c r="M99" s="4">
        <f t="shared" si="1"/>
        <v>8</v>
      </c>
    </row>
    <row r="100" spans="1:13" x14ac:dyDescent="0.2">
      <c r="A100" s="3">
        <v>99</v>
      </c>
      <c r="B100" s="3">
        <v>14</v>
      </c>
      <c r="C100" s="3" t="s">
        <v>16</v>
      </c>
      <c r="D100" s="3">
        <v>4</v>
      </c>
      <c r="E100" s="3">
        <v>142</v>
      </c>
      <c r="F100" s="3" t="s">
        <v>15</v>
      </c>
      <c r="G100" s="3">
        <v>2</v>
      </c>
      <c r="H100" s="3" t="b">
        <v>0</v>
      </c>
      <c r="I100" s="3">
        <v>2.4532414513621879</v>
      </c>
      <c r="J100" s="3">
        <v>0.88610206229422983</v>
      </c>
      <c r="K100" s="4">
        <f>VLOOKUP(C100,[1]FWHM_Reference!$A$2:$B$16,2,FALSE)</f>
        <v>51</v>
      </c>
      <c r="L100" s="4">
        <f>VLOOKUP(F100,[1]FWHM_Reference!$A$2:$B$16,2,FALSE)</f>
        <v>75</v>
      </c>
      <c r="M100" s="4">
        <f t="shared" si="1"/>
        <v>24</v>
      </c>
    </row>
    <row r="101" spans="1:13" x14ac:dyDescent="0.2">
      <c r="A101" s="3">
        <v>100</v>
      </c>
      <c r="B101" s="3">
        <v>14</v>
      </c>
      <c r="C101" s="3" t="s">
        <v>16</v>
      </c>
      <c r="D101" s="3">
        <v>4</v>
      </c>
      <c r="E101" s="3">
        <v>153</v>
      </c>
      <c r="F101" s="3" t="s">
        <v>20</v>
      </c>
      <c r="G101" s="3">
        <v>2</v>
      </c>
      <c r="H101" s="3" t="b">
        <v>0</v>
      </c>
      <c r="I101" s="3">
        <v>2.468904803846959</v>
      </c>
      <c r="J101" s="3">
        <v>0.8917596093454957</v>
      </c>
      <c r="K101" s="4">
        <f>VLOOKUP(C101,[1]FWHM_Reference!$A$2:$B$16,2,FALSE)</f>
        <v>51</v>
      </c>
      <c r="L101" s="4">
        <f>VLOOKUP(F101,[1]FWHM_Reference!$A$2:$B$16,2,FALSE)</f>
        <v>68</v>
      </c>
      <c r="M101" s="4">
        <f t="shared" si="1"/>
        <v>17</v>
      </c>
    </row>
    <row r="102" spans="1:13" x14ac:dyDescent="0.2">
      <c r="A102" s="3">
        <v>101</v>
      </c>
      <c r="B102" s="3">
        <v>144</v>
      </c>
      <c r="C102" s="3" t="s">
        <v>14</v>
      </c>
      <c r="D102" s="3">
        <v>2</v>
      </c>
      <c r="E102" s="3">
        <v>283</v>
      </c>
      <c r="F102" s="3" t="s">
        <v>19</v>
      </c>
      <c r="G102" s="3">
        <v>4</v>
      </c>
      <c r="H102" s="3" t="b">
        <v>0</v>
      </c>
      <c r="I102" s="3">
        <v>2.5173528633674351</v>
      </c>
      <c r="J102" s="3">
        <v>0.9092588756453579</v>
      </c>
      <c r="K102" s="4">
        <f>VLOOKUP(C102,[1]FWHM_Reference!$A$2:$B$16,2,FALSE)</f>
        <v>120</v>
      </c>
      <c r="L102" s="4">
        <f>VLOOKUP(F102,[1]FWHM_Reference!$A$2:$B$16,2,FALSE)</f>
        <v>42</v>
      </c>
      <c r="M102" s="4">
        <f t="shared" si="1"/>
        <v>78</v>
      </c>
    </row>
    <row r="103" spans="1:13" x14ac:dyDescent="0.2">
      <c r="A103" s="3">
        <v>102</v>
      </c>
      <c r="B103" s="3">
        <v>14</v>
      </c>
      <c r="C103" s="3" t="s">
        <v>16</v>
      </c>
      <c r="D103" s="3">
        <v>4</v>
      </c>
      <c r="E103" s="3">
        <v>180</v>
      </c>
      <c r="F103" s="3" t="s">
        <v>18</v>
      </c>
      <c r="G103" s="3">
        <v>2</v>
      </c>
      <c r="H103" s="3" t="b">
        <v>0</v>
      </c>
      <c r="I103" s="3">
        <v>2.5414359283261838</v>
      </c>
      <c r="J103" s="3">
        <v>0.91795759281176814</v>
      </c>
      <c r="K103" s="4">
        <f>VLOOKUP(C103,[1]FWHM_Reference!$A$2:$B$16,2,FALSE)</f>
        <v>51</v>
      </c>
      <c r="L103" s="4">
        <f>VLOOKUP(F103,[1]FWHM_Reference!$A$2:$B$16,2,FALSE)</f>
        <v>69</v>
      </c>
      <c r="M103" s="4">
        <f t="shared" si="1"/>
        <v>18</v>
      </c>
    </row>
    <row r="104" spans="1:13" x14ac:dyDescent="0.2">
      <c r="A104" s="3">
        <v>103</v>
      </c>
      <c r="B104" s="3">
        <v>180</v>
      </c>
      <c r="C104" s="3" t="s">
        <v>18</v>
      </c>
      <c r="D104" s="3">
        <v>2</v>
      </c>
      <c r="E104" s="3">
        <v>283</v>
      </c>
      <c r="F104" s="3" t="s">
        <v>19</v>
      </c>
      <c r="G104" s="3">
        <v>4</v>
      </c>
      <c r="H104" s="3" t="b">
        <v>0</v>
      </c>
      <c r="I104" s="3">
        <v>2.6011396907234321</v>
      </c>
      <c r="J104" s="3">
        <v>0.93952237884518153</v>
      </c>
      <c r="K104" s="4">
        <f>VLOOKUP(C104,[1]FWHM_Reference!$A$2:$B$16,2,FALSE)</f>
        <v>69</v>
      </c>
      <c r="L104" s="4">
        <f>VLOOKUP(F104,[1]FWHM_Reference!$A$2:$B$16,2,FALSE)</f>
        <v>42</v>
      </c>
      <c r="M104" s="4">
        <f t="shared" si="1"/>
        <v>27</v>
      </c>
    </row>
    <row r="105" spans="1:13" x14ac:dyDescent="0.2">
      <c r="A105" s="3">
        <v>104</v>
      </c>
      <c r="B105" s="3">
        <v>14</v>
      </c>
      <c r="C105" s="3" t="s">
        <v>16</v>
      </c>
      <c r="D105" s="3">
        <v>4</v>
      </c>
      <c r="E105" s="3">
        <v>144</v>
      </c>
      <c r="F105" s="3" t="s">
        <v>14</v>
      </c>
      <c r="G105" s="3">
        <v>2</v>
      </c>
      <c r="H105" s="3" t="b">
        <v>0</v>
      </c>
      <c r="I105" s="3">
        <v>2.679489223359357</v>
      </c>
      <c r="J105" s="3">
        <v>0.96782195058522902</v>
      </c>
      <c r="K105" s="4">
        <f>VLOOKUP(C105,[1]FWHM_Reference!$A$2:$B$16,2,FALSE)</f>
        <v>51</v>
      </c>
      <c r="L105" s="4">
        <f>VLOOKUP(F105,[1]FWHM_Reference!$A$2:$B$16,2,FALSE)</f>
        <v>120</v>
      </c>
      <c r="M105" s="4">
        <f t="shared" si="1"/>
        <v>69</v>
      </c>
    </row>
    <row r="106" spans="1:13" x14ac:dyDescent="0.2">
      <c r="A106" s="3">
        <v>105</v>
      </c>
      <c r="B106" s="3">
        <v>153</v>
      </c>
      <c r="C106" s="3" t="s">
        <v>20</v>
      </c>
      <c r="D106" s="3">
        <v>2</v>
      </c>
      <c r="E106" s="3">
        <v>283</v>
      </c>
      <c r="F106" s="3" t="s">
        <v>19</v>
      </c>
      <c r="G106" s="3">
        <v>4</v>
      </c>
      <c r="H106" s="3" t="b">
        <v>0</v>
      </c>
      <c r="I106" s="3">
        <v>2.7685766186012888</v>
      </c>
      <c r="J106" s="3">
        <v>1</v>
      </c>
      <c r="K106" s="4">
        <f>VLOOKUP(C106,[1]FWHM_Reference!$A$2:$B$16,2,FALSE)</f>
        <v>68</v>
      </c>
      <c r="L106" s="4">
        <f>VLOOKUP(F106,[1]FWHM_Reference!$A$2:$B$16,2,FALSE)</f>
        <v>42</v>
      </c>
      <c r="M106" s="4">
        <f t="shared" si="1"/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Kunjie Song</cp:lastModifiedBy>
  <dcterms:created xsi:type="dcterms:W3CDTF">2015-06-05T18:19:34Z</dcterms:created>
  <dcterms:modified xsi:type="dcterms:W3CDTF">2026-10-15T08:21:49Z</dcterms:modified>
</cp:coreProperties>
</file>