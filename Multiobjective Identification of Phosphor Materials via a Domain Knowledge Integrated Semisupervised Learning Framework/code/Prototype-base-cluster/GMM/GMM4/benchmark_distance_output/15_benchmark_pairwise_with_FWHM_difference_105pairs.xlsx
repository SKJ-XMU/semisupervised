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76cddcc914d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tance_Matrix" sheetId="1" r:id="Rd79faaceff9c4cd9"/>
    <x:sheet xmlns:r="http://schemas.openxmlformats.org/officeDocument/2006/relationships" name="Normalized_Distance_Matrix" sheetId="2" r:id="R45ecc08570e8417e"/>
    <x:sheet xmlns:r="http://schemas.openxmlformats.org/officeDocument/2006/relationships" name="Pairwise_105" sheetId="3" r:id="Ra0319f34924f4962"/>
    <x:sheet xmlns:r="http://schemas.openxmlformats.org/officeDocument/2006/relationships" name="Benchmark_PCA_Cluster" sheetId="4" r:id="Re114832b95cd4132"/>
    <x:sheet xmlns:r="http://schemas.openxmlformats.org/officeDocument/2006/relationships" name="Raw_Matrix_Sorted" sheetId="5" r:id="R9f0e90d9f4f94b30"/>
    <x:sheet xmlns:r="http://schemas.openxmlformats.org/officeDocument/2006/relationships" name="Normalized_Matrix_Sorted" sheetId="6" r:id="R7e3c90e89b2c4473"/>
    <x:sheet xmlns:r="http://schemas.openxmlformats.org/officeDocument/2006/relationships" name="Summary" sheetId="7" r:id="Ra4a29f07a2cd4b30"/>
    <x:sheet xmlns:r="http://schemas.openxmlformats.org/officeDocument/2006/relationships" name="FWHM_Reference" sheetId="8" r:id="R0a819dbaf7fa40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color theme="1"/>
      <x:name val="Calibri"/>
    </x:font>
    <x:font>
      <x:b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7">
    <x:border/>
    <x:border>
      <x:left style="thin"/>
      <x:right style="thin"/>
      <x:top style="thin"/>
      <x:bottom style="thin"/>
    </x:border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2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2" fillId="2" borderId="9" xfId="0" applyNumberFormat="1" applyFont="1" applyFill="1" applyBorder="1" applyAlignment="1">
      <x:alignment horizontal="center" vertical="center"/>
    </x:xf>
    <x:xf numFmtId="0" fontId="2" fillId="2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15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 applyAlignment="1">
      <x:alignment horizontal="center"/>
    </x:xf>
    <x:xf numFmtId="200" fontId="0" fillId="0" borderId="6" xfId="0" applyNumberFormat="1" applyFont="1" applyFill="1" applyBorder="1" applyAlignment="1">
      <x:alignment horizontal="center"/>
    </x:xf>
    <x:xf numFmtId="200" fontId="0" fillId="0" borderId="7" xfId="0" applyNumberFormat="1" applyFont="1" applyFill="1" applyBorder="1" applyAlignment="1">
      <x:alignment horizontal="center"/>
    </x:xf>
    <x:xf numFmtId="200" fontId="0" fillId="0" borderId="16" xfId="0" applyNumberFormat="1" applyFont="1" applyFill="1" applyBorder="1" applyAlignment="1">
      <x:alignment horizontal="center"/>
    </x:xf>
    <x:xf numFmtId="200" fontId="0" fillId="0" borderId="8" xfId="0" applyNumberFormat="1" applyFont="1" applyFill="1" applyBorder="1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33bc6631364811" /><Relationship Type="http://schemas.openxmlformats.org/officeDocument/2006/relationships/theme" Target="/xl/theme/theme1.xml" Id="Rb83dd9dfd6264e61" /><Relationship Type="http://schemas.openxmlformats.org/officeDocument/2006/relationships/sharedStrings" Target="/xl/sharedStrings.xml" Id="R51a0e1577d324b78" /><Relationship Type="http://schemas.openxmlformats.org/officeDocument/2006/relationships/worksheet" Target="/xl/worksheets/sheet1.xml" Id="Rd79faaceff9c4cd9" /><Relationship Type="http://schemas.openxmlformats.org/officeDocument/2006/relationships/worksheet" Target="/xl/worksheets/sheet2.xml" Id="R45ecc08570e8417e" /><Relationship Type="http://schemas.openxmlformats.org/officeDocument/2006/relationships/worksheet" Target="/xl/worksheets/sheet3.xml" Id="Ra0319f34924f4962" /><Relationship Type="http://schemas.openxmlformats.org/officeDocument/2006/relationships/worksheet" Target="/xl/worksheets/sheet4.xml" Id="Re114832b95cd4132" /><Relationship Type="http://schemas.openxmlformats.org/officeDocument/2006/relationships/worksheet" Target="/xl/worksheets/sheet5.xml" Id="R9f0e90d9f4f94b30" /><Relationship Type="http://schemas.openxmlformats.org/officeDocument/2006/relationships/worksheet" Target="/xl/worksheets/sheet6.xml" Id="R7e3c90e89b2c4473" /><Relationship Type="http://schemas.openxmlformats.org/officeDocument/2006/relationships/worksheet" Target="/xl/worksheets/sheet7.xml" Id="Ra4a29f07a2cd4b30" /><Relationship Type="http://schemas.openxmlformats.org/officeDocument/2006/relationships/worksheet" Target="/xl/worksheets/sheet8.xml" Id="R0a819dbaf7fa409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Benchmark</x:t>
        </x:is>
      </x:c>
      <x:c r="B1" s="1" t="inlineStr">
        <x:is>
          <x:t xml:space="preserve">14 | K2RbNaLi12(SiO4)4</x:t>
        </x:is>
      </x:c>
      <x:c r="C1" s="1" t="inlineStr">
        <x:is>
          <x:t xml:space="preserve">15 | Rb2ZrSi2O7</x:t>
        </x:is>
      </x:c>
      <x:c r="D1" s="1" t="inlineStr">
        <x:is>
          <x:t xml:space="preserve">16 | Sr2LiSiO4F</x:t>
        </x:is>
      </x:c>
      <x:c r="E1" s="1" t="inlineStr">
        <x:is>
          <x:t xml:space="preserve">17 | SrAl2O4</x:t>
        </x:is>
      </x:c>
      <x:c r="F1" s="1" t="inlineStr">
        <x:is>
          <x:t xml:space="preserve">95 | Na3YSi2O7</x:t>
        </x:is>
      </x:c>
      <x:c r="G1" s="1" t="inlineStr">
        <x:is>
          <x:t xml:space="preserve">111 | Ba2MgSi2O7</x:t>
        </x:is>
      </x:c>
      <x:c r="H1" s="1" t="inlineStr">
        <x:is>
          <x:t xml:space="preserve">142 | Ba2Ca(BO3)2</x:t>
        </x:is>
      </x:c>
      <x:c r="I1" s="1" t="inlineStr">
        <x:is>
          <x:t xml:space="preserve">144 | Ba2Mg(PO4)2</x:t>
        </x:is>
      </x:c>
      <x:c r="J1" s="1" t="inlineStr">
        <x:is>
          <x:t xml:space="preserve">153 | Ba3Si6(NO6)2</x:t>
        </x:is>
      </x:c>
      <x:c r="K1" s="1" t="inlineStr">
        <x:is>
          <x:t xml:space="preserve">157 | BaNa(B3O5)3</x:t>
        </x:is>
      </x:c>
      <x:c r="L1" s="1" t="inlineStr">
        <x:is>
          <x:t xml:space="preserve">171 | BaLi2SiO4</x:t>
        </x:is>
      </x:c>
      <x:c r="M1" s="1" t="inlineStr">
        <x:is>
          <x:t xml:space="preserve">180 | Ba6Y2Al4O15</x:t>
        </x:is>
      </x:c>
      <x:c r="N1" s="1" t="inlineStr">
        <x:is>
          <x:t xml:space="preserve">199 | Cs2BaP2O7</x:t>
        </x:is>
      </x:c>
      <x:c r="O1" s="1" t="inlineStr">
        <x:is>
          <x:t xml:space="preserve">261 | NaCaPO4</x:t>
        </x:is>
      </x:c>
      <x:c r="P1" s="1" t="inlineStr">
        <x:is>
          <x:t xml:space="preserve">283 | RbLi7(SiO4)2</x:t>
        </x:is>
      </x:c>
    </x:row>
    <x:row r="2">
      <x:c r="A2" s="1" t="inlineStr">
        <x:is>
          <x:t xml:space="preserve">14 | K2RbNaLi12(SiO4)4</x:t>
        </x:is>
      </x:c>
      <x:c r="B2" t="n">
        <x:v>0</x:v>
      </x:c>
      <x:c r="C2" t="n">
        <x:v>1.649092844241671</x:v>
      </x:c>
      <x:c r="D2" t="n">
        <x:v>1.400528067241995</x:v>
      </x:c>
      <x:c r="E2" t="n">
        <x:v>2.365882994924128</x:v>
      </x:c>
      <x:c r="F2" t="n">
        <x:v>1.365768753530583</x:v>
      </x:c>
      <x:c r="G2" t="n">
        <x:v>2.435059090216205</x:v>
      </x:c>
      <x:c r="H2" t="n">
        <x:v>2.453241451362188</x:v>
      </x:c>
      <x:c r="I2" t="n">
        <x:v>2.679489223359357</x:v>
      </x:c>
      <x:c r="J2" t="n">
        <x:v>2.468904803846959</x:v>
      </x:c>
      <x:c r="K2" t="n">
        <x:v>2.266019610601904</x:v>
      </x:c>
      <x:c r="L2" t="n">
        <x:v>0.8860660218997692</x:v>
      </x:c>
      <x:c r="M2" t="n">
        <x:v>2.541435928326184</x:v>
      </x:c>
      <x:c r="N2" t="n">
        <x:v>2.025762424657112</x:v>
      </x:c>
      <x:c r="O2" t="n">
        <x:v>1.591339905770051</x:v>
      </x:c>
      <x:c r="P2" t="n">
        <x:v>1.06918456069644</x:v>
      </x:c>
    </x:row>
    <x:row r="3">
      <x:c r="A3" s="1" t="inlineStr">
        <x:is>
          <x:t xml:space="preserve">15 | Rb2ZrSi2O7</x:t>
        </x:is>
      </x:c>
      <x:c r="B3" t="n">
        <x:v>1.649092844241671</x:v>
      </x:c>
      <x:c r="C3" t="n">
        <x:v>0</x:v>
      </x:c>
      <x:c r="D3" t="n">
        <x:v>1.209199024727265</x:v>
      </x:c>
      <x:c r="E3" t="n">
        <x:v>1.500430353683339</x:v>
      </x:c>
      <x:c r="F3" t="n">
        <x:v>1.42478326673584</x:v>
      </x:c>
      <x:c r="G3" t="n">
        <x:v>1.569204464572638</x:v>
      </x:c>
      <x:c r="H3" t="n">
        <x:v>1.656355929117638</x:v>
      </x:c>
      <x:c r="I3" t="n">
        <x:v>1.837249447213781</x:v>
      </x:c>
      <x:c r="J3" t="n">
        <x:v>1.945311090934941</x:v>
      </x:c>
      <x:c r="K3" t="n">
        <x:v>1.814545504828422</x:v>
      </x:c>
      <x:c r="L3" t="n">
        <x:v>1.708692615954373</x:v>
      </x:c>
      <x:c r="M3" t="n">
        <x:v>1.63512615243677</x:v>
      </x:c>
      <x:c r="N3" t="n">
        <x:v>1.250742197542304</x:v>
      </x:c>
      <x:c r="O3" t="n">
        <x:v>1.309417093654967</x:v>
      </x:c>
      <x:c r="P3" t="n">
        <x:v>1.494344540936513</x:v>
      </x:c>
    </x:row>
    <x:row r="4">
      <x:c r="A4" s="1" t="inlineStr">
        <x:is>
          <x:t xml:space="preserve">16 | Sr2LiSiO4F</x:t>
        </x:is>
      </x:c>
      <x:c r="B4" t="n">
        <x:v>1.400528067241995</x:v>
      </x:c>
      <x:c r="C4" t="n">
        <x:v>1.209199024727265</x:v>
      </x:c>
      <x:c r="D4" t="n">
        <x:v>0</x:v>
      </x:c>
      <x:c r="E4" t="n">
        <x:v>1.740291841226694</x:v>
      </x:c>
      <x:c r="F4" t="n">
        <x:v>1.753941028336218</x:v>
      </x:c>
      <x:c r="G4" t="n">
        <x:v>1.754618338445151</x:v>
      </x:c>
      <x:c r="H4" t="n">
        <x:v>1.640783715667864</x:v>
      </x:c>
      <x:c r="I4" t="n">
        <x:v>2.002264339502133</x:v>
      </x:c>
      <x:c r="J4" t="n">
        <x:v>1.999018067084788</x:v>
      </x:c>
      <x:c r="K4" t="n">
        <x:v>2.046331367347372</x:v>
      </x:c>
      <x:c r="L4" t="n">
        <x:v>1.465002154365087</x:v>
      </x:c>
      <x:c r="M4" t="n">
        <x:v>1.965614485304116</x:v>
      </x:c>
      <x:c r="N4" t="n">
        <x:v>1.718269914065607</x:v>
      </x:c>
      <x:c r="O4" t="n">
        <x:v>1.21824565787193</x:v>
      </x:c>
      <x:c r="P4" t="n">
        <x:v>1.4220042305121</x:v>
      </x:c>
    </x:row>
    <x:row r="5">
      <x:c r="A5" s="1" t="inlineStr">
        <x:is>
          <x:t xml:space="preserve">17 | SrAl2O4</x:t>
        </x:is>
      </x:c>
      <x:c r="B5" t="n">
        <x:v>2.365882994924128</x:v>
      </x:c>
      <x:c r="C5" t="n">
        <x:v>1.500430353683339</x:v>
      </x:c>
      <x:c r="D5" t="n">
        <x:v>1.740291841226693</x:v>
      </x:c>
      <x:c r="E5" t="n">
        <x:v>0</x:v>
      </x:c>
      <x:c r="F5" t="n">
        <x:v>2.02211237402136</x:v>
      </x:c>
      <x:c r="G5" t="n">
        <x:v>0.6388981088282819</x:v>
      </x:c>
      <x:c r="H5" t="n">
        <x:v>1.053915416546027</x:v>
      </x:c>
      <x:c r="I5" t="n">
        <x:v>1.209863373786819</x:v>
      </x:c>
      <x:c r="J5" t="n">
        <x:v>1.162027879379593</x:v>
      </x:c>
      <x:c r="K5" t="n">
        <x:v>1.995935349852285</x:v>
      </x:c>
      <x:c r="L5" t="n">
        <x:v>2.252628632560807</x:v>
      </x:c>
      <x:c r="M5" t="n">
        <x:v>1.032134220737294</x:v>
      </x:c>
      <x:c r="N5" t="n">
        <x:v>2.114277518564791</x:v>
      </x:c>
      <x:c r="O5" t="n">
        <x:v>1.715992581286376</x:v>
      </x:c>
      <x:c r="P5" t="n">
        <x:v>2.379820070802318</x:v>
      </x:c>
    </x:row>
    <x:row r="6">
      <x:c r="A6" s="1" t="inlineStr">
        <x:is>
          <x:t xml:space="preserve">95 | Na3YSi2O7</x:t>
        </x:is>
      </x:c>
      <x:c r="B6" t="n">
        <x:v>1.365768753530583</x:v>
      </x:c>
      <x:c r="C6" t="n">
        <x:v>1.42478326673584</x:v>
      </x:c>
      <x:c r="D6" t="n">
        <x:v>1.753941028336218</x:v>
      </x:c>
      <x:c r="E6" t="n">
        <x:v>2.02211237402136</x:v>
      </x:c>
      <x:c r="F6" t="n">
        <x:v>0</x:v>
      </x:c>
      <x:c r="G6" t="n">
        <x:v>2.126014070214413</x:v>
      </x:c>
      <x:c r="H6" t="n">
        <x:v>2.320530715751254</x:v>
      </x:c>
      <x:c r="I6" t="n">
        <x:v>2.288101685557498</x:v>
      </x:c>
      <x:c r="J6" t="n">
        <x:v>1.95968360042796</x:v>
      </x:c>
      <x:c r="K6" t="n">
        <x:v>1.890917599335502</x:v>
      </x:c>
      <x:c r="L6" t="n">
        <x:v>1.263791263432803</x:v>
      </x:c>
      <x:c r="M6" t="n">
        <x:v>2.100648571163652</x:v>
      </x:c>
      <x:c r="N6" t="n">
        <x:v>1.924027100445727</x:v>
      </x:c>
      <x:c r="O6" t="n">
        <x:v>1.339454253741354</x:v>
      </x:c>
      <x:c r="P6" t="n">
        <x:v>1.753069998819739</x:v>
      </x:c>
    </x:row>
    <x:row r="7">
      <x:c r="A7" s="1" t="inlineStr">
        <x:is>
          <x:t xml:space="preserve">111 | Ba2MgSi2O7</x:t>
        </x:is>
      </x:c>
      <x:c r="B7" t="n">
        <x:v>2.435059090216205</x:v>
      </x:c>
      <x:c r="C7" t="n">
        <x:v>1.569204464572638</x:v>
      </x:c>
      <x:c r="D7" t="n">
        <x:v>1.754618338445151</x:v>
      </x:c>
      <x:c r="E7" t="n">
        <x:v>0.6388981088282819</x:v>
      </x:c>
      <x:c r="F7" t="n">
        <x:v>2.126014070214413</x:v>
      </x:c>
      <x:c r="G7" t="n">
        <x:v>0</x:v>
      </x:c>
      <x:c r="H7" t="n">
        <x:v>0.8330445938528602</x:v>
      </x:c>
      <x:c r="I7" t="n">
        <x:v>0.7574316980656411</x:v>
      </x:c>
      <x:c r="J7" t="n">
        <x:v>1.074229737431206</x:v>
      </x:c>
      <x:c r="K7" t="n">
        <x:v>2.076109189684203</x:v>
      </x:c>
      <x:c r="L7" t="n">
        <x:v>2.187523029080395</x:v>
      </x:c>
      <x:c r="M7" t="n">
        <x:v>0.8908962421481714</x:v>
      </x:c>
      <x:c r="N7" t="n">
        <x:v>1.857197190370371</x:v>
      </x:c>
      <x:c r="O7" t="n">
        <x:v>1.83305394834421</x:v>
      </x:c>
      <x:c r="P7" t="n">
        <x:v>2.389951799686097</x:v>
      </x:c>
    </x:row>
    <x:row r="8">
      <x:c r="A8" s="1" t="inlineStr">
        <x:is>
          <x:t xml:space="preserve">142 | Ba2Ca(BO3)2</x:t>
        </x:is>
      </x:c>
      <x:c r="B8" t="n">
        <x:v>2.453241451362188</x:v>
      </x:c>
      <x:c r="C8" t="n">
        <x:v>1.656355929117638</x:v>
      </x:c>
      <x:c r="D8" t="n">
        <x:v>1.640783715667864</x:v>
      </x:c>
      <x:c r="E8" t="n">
        <x:v>1.053915416546027</x:v>
      </x:c>
      <x:c r="F8" t="n">
        <x:v>2.320530715751254</x:v>
      </x:c>
      <x:c r="G8" t="n">
        <x:v>0.8330445938528602</x:v>
      </x:c>
      <x:c r="H8" t="n">
        <x:v>0</x:v>
      </x:c>
      <x:c r="I8" t="n">
        <x:v>1.421792971764032</x:v>
      </x:c>
      <x:c r="J8" t="n">
        <x:v>1.345706803051195</x:v>
      </x:c>
      <x:c r="K8" t="n">
        <x:v>2.029331800640326</x:v>
      </x:c>
      <x:c r="L8" t="n">
        <x:v>2.166572950444275</x:v>
      </x:c>
      <x:c r="M8" t="n">
        <x:v>0.9893887975060818</x:v>
      </x:c>
      <x:c r="N8" t="n">
        <x:v>2.16492777581175</x:v>
      </x:c>
      <x:c r="O8" t="n">
        <x:v>2.175601446320083</x:v>
      </x:c>
      <x:c r="P8" t="n">
        <x:v>2.386193617766047</x:v>
      </x:c>
    </x:row>
    <x:row r="9">
      <x:c r="A9" s="1" t="inlineStr">
        <x:is>
          <x:t xml:space="preserve">144 | Ba2Mg(PO4)2</x:t>
        </x:is>
      </x:c>
      <x:c r="B9" t="n">
        <x:v>2.679489223359357</x:v>
      </x:c>
      <x:c r="C9" t="n">
        <x:v>1.837249447213781</x:v>
      </x:c>
      <x:c r="D9" t="n">
        <x:v>2.002264339502133</x:v>
      </x:c>
      <x:c r="E9" t="n">
        <x:v>1.209863373786819</x:v>
      </x:c>
      <x:c r="F9" t="n">
        <x:v>2.288101685557498</x:v>
      </x:c>
      <x:c r="G9" t="n">
        <x:v>0.7574316980656411</x:v>
      </x:c>
      <x:c r="H9" t="n">
        <x:v>1.421792971764032</x:v>
      </x:c>
      <x:c r="I9" t="n">
        <x:v>0</x:v>
      </x:c>
      <x:c r="J9" t="n">
        <x:v>1.375446125283659</x:v>
      </x:c>
      <x:c r="K9" t="n">
        <x:v>2.29924450302617</x:v>
      </x:c>
      <x:c r="L9" t="n">
        <x:v>2.372486982184242</x:v>
      </x:c>
      <x:c r="M9" t="n">
        <x:v>1.436520670737345</x:v>
      </x:c>
      <x:c r="N9" t="n">
        <x:v>1.724453022600004</x:v>
      </x:c>
      <x:c r="O9" t="n">
        <x:v>1.807189523315915</x:v>
      </x:c>
      <x:c r="P9" t="n">
        <x:v>2.517352863367435</x:v>
      </x:c>
    </x:row>
    <x:row r="10">
      <x:c r="A10" s="1" t="inlineStr">
        <x:is>
          <x:t xml:space="preserve">153 | Ba3Si6(NO6)2</x:t>
        </x:is>
      </x:c>
      <x:c r="B10" t="n">
        <x:v>2.468904803846959</x:v>
      </x:c>
      <x:c r="C10" t="n">
        <x:v>1.945311090934941</x:v>
      </x:c>
      <x:c r="D10" t="n">
        <x:v>1.999018067084788</x:v>
      </x:c>
      <x:c r="E10" t="n">
        <x:v>1.162027879379593</x:v>
      </x:c>
      <x:c r="F10" t="n">
        <x:v>1.95968360042796</x:v>
      </x:c>
      <x:c r="G10" t="n">
        <x:v>1.074229737431206</x:v>
      </x:c>
      <x:c r="H10" t="n">
        <x:v>1.345706803051195</x:v>
      </x:c>
      <x:c r="I10" t="n">
        <x:v>1.375446125283659</x:v>
      </x:c>
      <x:c r="J10" t="n">
        <x:v>0</x:v>
      </x:c>
      <x:c r="K10" t="n">
        <x:v>1.834497255712968</x:v>
      </x:c>
      <x:c r="L10" t="n">
        <x:v>2.058923881399297</x:v>
      </x:c>
      <x:c r="M10" t="n">
        <x:v>1.379146650058416</x:v>
      </x:c>
      <x:c r="N10" t="n">
        <x:v>2.182639826635275</x:v>
      </x:c>
      <x:c r="O10" t="n">
        <x:v>1.961508463762682</x:v>
      </x:c>
      <x:c r="P10" t="n">
        <x:v>2.768576618601289</x:v>
      </x:c>
    </x:row>
    <x:row r="11">
      <x:c r="A11" s="1" t="inlineStr">
        <x:is>
          <x:t xml:space="preserve">157 | BaNa(B3O5)3</x:t>
        </x:is>
      </x:c>
      <x:c r="B11" t="n">
        <x:v>2.266019610601904</x:v>
      </x:c>
      <x:c r="C11" t="n">
        <x:v>1.814545504828422</x:v>
      </x:c>
      <x:c r="D11" t="n">
        <x:v>2.046331367347372</x:v>
      </x:c>
      <x:c r="E11" t="n">
        <x:v>1.995935349852285</x:v>
      </x:c>
      <x:c r="F11" t="n">
        <x:v>1.890917599335502</x:v>
      </x:c>
      <x:c r="G11" t="n">
        <x:v>2.076109189684203</x:v>
      </x:c>
      <x:c r="H11" t="n">
        <x:v>2.029331800640326</x:v>
      </x:c>
      <x:c r="I11" t="n">
        <x:v>2.29924450302617</x:v>
      </x:c>
      <x:c r="J11" t="n">
        <x:v>1.834497255712968</x:v>
      </x:c>
      <x:c r="K11" t="n">
        <x:v>0</x:v>
      </x:c>
      <x:c r="L11" t="n">
        <x:v>1.911817886826799</x:v>
      </x:c>
      <x:c r="M11" t="n">
        <x:v>2.449891311255747</x:v>
      </x:c>
      <x:c r="N11" t="n">
        <x:v>2.326828376766456</x:v>
      </x:c>
      <x:c r="O11" t="n">
        <x:v>2.212200293110382</x:v>
      </x:c>
      <x:c r="P11" t="n">
        <x:v>2.288092301461956</x:v>
      </x:c>
    </x:row>
    <x:row r="12">
      <x:c r="A12" s="1" t="inlineStr">
        <x:is>
          <x:t xml:space="preserve">171 | BaLi2SiO4</x:t>
        </x:is>
      </x:c>
      <x:c r="B12" t="n">
        <x:v>0.8860660218997692</x:v>
      </x:c>
      <x:c r="C12" t="n">
        <x:v>1.708692615954373</x:v>
      </x:c>
      <x:c r="D12" t="n">
        <x:v>1.465002154365087</x:v>
      </x:c>
      <x:c r="E12" t="n">
        <x:v>2.252628632560807</x:v>
      </x:c>
      <x:c r="F12" t="n">
        <x:v>1.263791263432803</x:v>
      </x:c>
      <x:c r="G12" t="n">
        <x:v>2.187523029080395</x:v>
      </x:c>
      <x:c r="H12" t="n">
        <x:v>2.166572950444275</x:v>
      </x:c>
      <x:c r="I12" t="n">
        <x:v>2.372486982184242</x:v>
      </x:c>
      <x:c r="J12" t="n">
        <x:v>2.058923881399297</x:v>
      </x:c>
      <x:c r="K12" t="n">
        <x:v>1.911817886826799</x:v>
      </x:c>
      <x:c r="L12" t="n">
        <x:v>0</x:v>
      </x:c>
      <x:c r="M12" t="n">
        <x:v>2.35650299213911</x:v>
      </x:c>
      <x:c r="N12" t="n">
        <x:v>1.892809718416997</x:v>
      </x:c>
      <x:c r="O12" t="n">
        <x:v>1.688336800332594</x:v>
      </x:c>
      <x:c r="P12" t="n">
        <x:v>1.37129647437425</x:v>
      </x:c>
    </x:row>
    <x:row r="13">
      <x:c r="A13" s="1" t="inlineStr">
        <x:is>
          <x:t xml:space="preserve">180 | Ba6Y2Al4O15</x:t>
        </x:is>
      </x:c>
      <x:c r="B13" t="n">
        <x:v>2.541435928326185</x:v>
      </x:c>
      <x:c r="C13" t="n">
        <x:v>1.63512615243677</x:v>
      </x:c>
      <x:c r="D13" t="n">
        <x:v>1.965614485304116</x:v>
      </x:c>
      <x:c r="E13" t="n">
        <x:v>1.032134220737294</x:v>
      </x:c>
      <x:c r="F13" t="n">
        <x:v>2.100648571163652</x:v>
      </x:c>
      <x:c r="G13" t="n">
        <x:v>0.8908962421481714</x:v>
      </x:c>
      <x:c r="H13" t="n">
        <x:v>0.9893887975060818</x:v>
      </x:c>
      <x:c r="I13" t="n">
        <x:v>1.436520670737345</x:v>
      </x:c>
      <x:c r="J13" t="n">
        <x:v>1.379146650058416</x:v>
      </x:c>
      <x:c r="K13" t="n">
        <x:v>2.449891311255747</x:v>
      </x:c>
      <x:c r="L13" t="n">
        <x:v>2.35650299213911</x:v>
      </x:c>
      <x:c r="M13" t="n">
        <x:v>0</x:v>
      </x:c>
      <x:c r="N13" t="n">
        <x:v>2.142204333987456</x:v>
      </x:c>
      <x:c r="O13" t="n">
        <x:v>2.108062320035279</x:v>
      </x:c>
      <x:c r="P13" t="n">
        <x:v>2.601139690723432</x:v>
      </x:c>
    </x:row>
    <x:row r="14">
      <x:c r="A14" s="1" t="inlineStr">
        <x:is>
          <x:t xml:space="preserve">199 | Cs2BaP2O7</x:t>
        </x:is>
      </x:c>
      <x:c r="B14" t="n">
        <x:v>2.025762424657112</x:v>
      </x:c>
      <x:c r="C14" t="n">
        <x:v>1.250742197542304</x:v>
      </x:c>
      <x:c r="D14" t="n">
        <x:v>1.718269914065607</x:v>
      </x:c>
      <x:c r="E14" t="n">
        <x:v>2.114277518564791</x:v>
      </x:c>
      <x:c r="F14" t="n">
        <x:v>1.924027100445727</x:v>
      </x:c>
      <x:c r="G14" t="n">
        <x:v>1.857197190370371</x:v>
      </x:c>
      <x:c r="H14" t="n">
        <x:v>2.164927775811751</x:v>
      </x:c>
      <x:c r="I14" t="n">
        <x:v>1.724453022600004</x:v>
      </x:c>
      <x:c r="J14" t="n">
        <x:v>2.182639826635276</x:v>
      </x:c>
      <x:c r="K14" t="n">
        <x:v>2.326828376766456</x:v>
      </x:c>
      <x:c r="L14" t="n">
        <x:v>1.892809718416997</x:v>
      </x:c>
      <x:c r="M14" t="n">
        <x:v>2.142204333987456</x:v>
      </x:c>
      <x:c r="N14" t="n">
        <x:v>0</x:v>
      </x:c>
      <x:c r="O14" t="n">
        <x:v>1.588462950038068</x:v>
      </x:c>
      <x:c r="P14" t="n">
        <x:v>1.871529603841834</x:v>
      </x:c>
    </x:row>
    <x:row r="15">
      <x:c r="A15" s="1" t="inlineStr">
        <x:is>
          <x:t xml:space="preserve">261 | NaCaPO4</x:t>
        </x:is>
      </x:c>
      <x:c r="B15" t="n">
        <x:v>1.591339905770051</x:v>
      </x:c>
      <x:c r="C15" t="n">
        <x:v>1.309417093654967</x:v>
      </x:c>
      <x:c r="D15" t="n">
        <x:v>1.21824565787193</x:v>
      </x:c>
      <x:c r="E15" t="n">
        <x:v>1.715992581286376</x:v>
      </x:c>
      <x:c r="F15" t="n">
        <x:v>1.339454253741354</x:v>
      </x:c>
      <x:c r="G15" t="n">
        <x:v>1.83305394834421</x:v>
      </x:c>
      <x:c r="H15" t="n">
        <x:v>2.175601446320083</x:v>
      </x:c>
      <x:c r="I15" t="n">
        <x:v>1.807189523315915</x:v>
      </x:c>
      <x:c r="J15" t="n">
        <x:v>1.961508463762682</x:v>
      </x:c>
      <x:c r="K15" t="n">
        <x:v>2.212200293110382</x:v>
      </x:c>
      <x:c r="L15" t="n">
        <x:v>1.688336800332594</x:v>
      </x:c>
      <x:c r="M15" t="n">
        <x:v>2.108062320035279</x:v>
      </x:c>
      <x:c r="N15" t="n">
        <x:v>1.588462950038068</x:v>
      </x:c>
      <x:c r="O15" t="n">
        <x:v>0</x:v>
      </x:c>
      <x:c r="P15" t="n">
        <x:v>1.664227677731607</x:v>
      </x:c>
    </x:row>
    <x:row r="16">
      <x:c r="A16" s="1" t="inlineStr">
        <x:is>
          <x:t xml:space="preserve">283 | RbLi7(SiO4)2</x:t>
        </x:is>
      </x:c>
      <x:c r="B16" t="n">
        <x:v>1.06918456069644</x:v>
      </x:c>
      <x:c r="C16" t="n">
        <x:v>1.494344540936513</x:v>
      </x:c>
      <x:c r="D16" t="n">
        <x:v>1.4220042305121</x:v>
      </x:c>
      <x:c r="E16" t="n">
        <x:v>2.379820070802318</x:v>
      </x:c>
      <x:c r="F16" t="n">
        <x:v>1.753069998819739</x:v>
      </x:c>
      <x:c r="G16" t="n">
        <x:v>2.389951799686097</x:v>
      </x:c>
      <x:c r="H16" t="n">
        <x:v>2.386193617766047</x:v>
      </x:c>
      <x:c r="I16" t="n">
        <x:v>2.517352863367435</x:v>
      </x:c>
      <x:c r="J16" t="n">
        <x:v>2.768576618601289</x:v>
      </x:c>
      <x:c r="K16" t="n">
        <x:v>2.288092301461956</x:v>
      </x:c>
      <x:c r="L16" t="n">
        <x:v>1.37129647437425</x:v>
      </x:c>
      <x:c r="M16" t="n">
        <x:v>2.601139690723432</x:v>
      </x:c>
      <x:c r="N16" t="n">
        <x:v>1.871529603841834</x:v>
      </x:c>
      <x:c r="O16" t="n">
        <x:v>1.664227677731607</x:v>
      </x:c>
      <x:c r="P16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Benchmark</x:t>
        </x:is>
      </x:c>
      <x:c r="B1" s="1" t="inlineStr">
        <x:is>
          <x:t xml:space="preserve">14 | K2RbNaLi12(SiO4)4</x:t>
        </x:is>
      </x:c>
      <x:c r="C1" s="1" t="inlineStr">
        <x:is>
          <x:t xml:space="preserve">15 | Rb2ZrSi2O7</x:t>
        </x:is>
      </x:c>
      <x:c r="D1" s="1" t="inlineStr">
        <x:is>
          <x:t xml:space="preserve">16 | Sr2LiSiO4F</x:t>
        </x:is>
      </x:c>
      <x:c r="E1" s="1" t="inlineStr">
        <x:is>
          <x:t xml:space="preserve">17 | SrAl2O4</x:t>
        </x:is>
      </x:c>
      <x:c r="F1" s="1" t="inlineStr">
        <x:is>
          <x:t xml:space="preserve">95 | Na3YSi2O7</x:t>
        </x:is>
      </x:c>
      <x:c r="G1" s="1" t="inlineStr">
        <x:is>
          <x:t xml:space="preserve">111 | Ba2MgSi2O7</x:t>
        </x:is>
      </x:c>
      <x:c r="H1" s="1" t="inlineStr">
        <x:is>
          <x:t xml:space="preserve">142 | Ba2Ca(BO3)2</x:t>
        </x:is>
      </x:c>
      <x:c r="I1" s="1" t="inlineStr">
        <x:is>
          <x:t xml:space="preserve">144 | Ba2Mg(PO4)2</x:t>
        </x:is>
      </x:c>
      <x:c r="J1" s="1" t="inlineStr">
        <x:is>
          <x:t xml:space="preserve">153 | Ba3Si6(NO6)2</x:t>
        </x:is>
      </x:c>
      <x:c r="K1" s="1" t="inlineStr">
        <x:is>
          <x:t xml:space="preserve">157 | BaNa(B3O5)3</x:t>
        </x:is>
      </x:c>
      <x:c r="L1" s="1" t="inlineStr">
        <x:is>
          <x:t xml:space="preserve">171 | BaLi2SiO4</x:t>
        </x:is>
      </x:c>
      <x:c r="M1" s="1" t="inlineStr">
        <x:is>
          <x:t xml:space="preserve">180 | Ba6Y2Al4O15</x:t>
        </x:is>
      </x:c>
      <x:c r="N1" s="1" t="inlineStr">
        <x:is>
          <x:t xml:space="preserve">199 | Cs2BaP2O7</x:t>
        </x:is>
      </x:c>
      <x:c r="O1" s="1" t="inlineStr">
        <x:is>
          <x:t xml:space="preserve">261 | NaCaPO4</x:t>
        </x:is>
      </x:c>
      <x:c r="P1" s="1" t="inlineStr">
        <x:is>
          <x:t xml:space="preserve">283 | RbLi7(SiO4)2</x:t>
        </x:is>
      </x:c>
    </x:row>
    <x:row r="2">
      <x:c r="A2" s="1" t="inlineStr">
        <x:is>
          <x:t xml:space="preserve">14 | K2RbNaLi12(SiO4)4</x:t>
        </x:is>
      </x:c>
      <x:c r="B2" t="n">
        <x:v>0</x:v>
      </x:c>
      <x:c r="C2" t="n">
        <x:v>0.595646453546519</x:v>
      </x:c>
      <x:c r="D2" t="n">
        <x:v>0.505865742646326</x:v>
      </x:c>
      <x:c r="E2" t="n">
        <x:v>0.8545484994088384</x:v>
      </x:c>
      <x:c r="F2" t="n">
        <x:v>0.4933108025092627</x:v>
      </x:c>
      <x:c r="G2" t="n">
        <x:v>0.8795346582990431</x:v>
      </x:c>
      <x:c r="H2" t="n">
        <x:v>0.8861020622942298</x:v>
      </x:c>
      <x:c r="I2" t="n">
        <x:v>0.967821950585229</x:v>
      </x:c>
      <x:c r="J2" t="n">
        <x:v>0.8917596093454957</x:v>
      </x:c>
      <x:c r="K2" t="n">
        <x:v>0.8184782011728171</x:v>
      </x:c>
      <x:c r="L2" t="n">
        <x:v>0.320043886792419</x:v>
      </x:c>
      <x:c r="M2" t="n">
        <x:v>0.9179575928117681</x:v>
      </x:c>
      <x:c r="N2" t="n">
        <x:v>0.7316981625310938</x:v>
      </x:c>
      <x:c r="O2" t="n">
        <x:v>0.5747862981570692</x:v>
      </x:c>
      <x:c r="P2" t="n">
        <x:v>0.3861856498797572</x:v>
      </x:c>
    </x:row>
    <x:row r="3">
      <x:c r="A3" s="1" t="inlineStr">
        <x:is>
          <x:t xml:space="preserve">15 | Rb2ZrSi2O7</x:t>
        </x:is>
      </x:c>
      <x:c r="B3" t="n">
        <x:v>0.595646453546519</x:v>
      </x:c>
      <x:c r="C3" t="n">
        <x:v>0</x:v>
      </x:c>
      <x:c r="D3" t="n">
        <x:v>0.4367583749002994</x:v>
      </x:c>
      <x:c r="E3" t="n">
        <x:v>0.5419500921890219</x:v>
      </x:c>
      <x:c r="F3" t="n">
        <x:v>0.5146266341928634</x:v>
      </x:c>
      <x:c r="G3" t="n">
        <x:v>0.5667910557466945</x:v>
      </x:c>
      <x:c r="H3" t="n">
        <x:v>0.5982698538985873</x:v>
      </x:c>
      <x:c r="I3" t="n">
        <x:v>0.6636079474448414</x:v>
      </x:c>
      <x:c r="J3" t="n">
        <x:v>0.7026394277351553</x:v>
      </x:c>
      <x:c r="K3" t="n">
        <x:v>0.6554073644330448</x:v>
      </x:c>
      <x:c r="L3" t="n">
        <x:v>0.617173678515576</x:v>
      </x:c>
      <x:c r="M3" t="n">
        <x:v>0.590601734281369</x:v>
      </x:c>
      <x:c r="N3" t="n">
        <x:v>0.4517636207497089</x:v>
      </x:c>
      <x:c r="O3" t="n">
        <x:v>0.4729567839507712</x:v>
      </x:c>
      <x:c r="P3" t="n">
        <x:v>0.5397519183310411</x:v>
      </x:c>
    </x:row>
    <x:row r="4">
      <x:c r="A4" s="1" t="inlineStr">
        <x:is>
          <x:t xml:space="preserve">16 | Sr2LiSiO4F</x:t>
        </x:is>
      </x:c>
      <x:c r="B4" t="n">
        <x:v>0.505865742646326</x:v>
      </x:c>
      <x:c r="C4" t="n">
        <x:v>0.4367583749002994</x:v>
      </x:c>
      <x:c r="D4" t="n">
        <x:v>0</x:v>
      </x:c>
      <x:c r="E4" t="n">
        <x:v>0.6285872059794774</x:v>
      </x:c>
      <x:c r="F4" t="n">
        <x:v>0.6335172436810963</x:v>
      </x:c>
      <x:c r="G4" t="n">
        <x:v>0.6337618856766913</x:v>
      </x:c>
      <x:c r="H4" t="n">
        <x:v>0.5926452259416981</x:v>
      </x:c>
      <x:c r="I4" t="n">
        <x:v>0.7232107379833669</x:v>
      </x:c>
      <x:c r="J4" t="n">
        <x:v>0.7220381959646508</x:v>
      </x:c>
      <x:c r="K4" t="n">
        <x:v>0.7391275912678903</x:v>
      </x:c>
      <x:c r="L4" t="n">
        <x:v>0.5291535529564718</x:v>
      </x:c>
      <x:c r="M4" t="n">
        <x:v>0.709972941365503</x:v>
      </x:c>
      <x:c r="N4" t="n">
        <x:v>0.6206329644341548</x:v>
      </x:c>
      <x:c r="O4" t="n">
        <x:v>0.4400259865256679</x:v>
      </x:c>
      <x:c r="P4" t="n">
        <x:v>0.5136228562207932</x:v>
      </x:c>
    </x:row>
    <x:row r="5">
      <x:c r="A5" s="1" t="inlineStr">
        <x:is>
          <x:t xml:space="preserve">17 | SrAl2O4</x:t>
        </x:is>
      </x:c>
      <x:c r="B5" t="n">
        <x:v>0.8545484994088384</x:v>
      </x:c>
      <x:c r="C5" t="n">
        <x:v>0.541950092189022</x:v>
      </x:c>
      <x:c r="D5" t="n">
        <x:v>0.6285872059794774</x:v>
      </x:c>
      <x:c r="E5" t="n">
        <x:v>0</x:v>
      </x:c>
      <x:c r="F5" t="n">
        <x:v>0.7303797772600384</x:v>
      </x:c>
      <x:c r="G5" t="n">
        <x:v>0.2307677181609152</x:v>
      </x:c>
      <x:c r="H5" t="n">
        <x:v>0.3806704894728451</x:v>
      </x:c>
      <x:c r="I5" t="n">
        <x:v>0.4369983354110869</x:v>
      </x:c>
      <x:c r="J5" t="n">
        <x:v>0.4197203254453042</x:v>
      </x:c>
      <x:c r="K5" t="n">
        <x:v>0.7209247294953498</x:v>
      </x:c>
      <x:c r="L5" t="n">
        <x:v>0.8136414276657642</x:v>
      </x:c>
      <x:c r="M5" t="n">
        <x:v>0.3728031992333799</x:v>
      </x:c>
      <x:c r="N5" t="n">
        <x:v>0.7636694987451507</x:v>
      </x:c>
      <x:c r="O5" t="n">
        <x:v>0.6198103999568239</x:v>
      </x:c>
      <x:c r="P5" t="n">
        <x:v>0.8595825215068909</x:v>
      </x:c>
    </x:row>
    <x:row r="6">
      <x:c r="A6" s="1" t="inlineStr">
        <x:is>
          <x:t xml:space="preserve">95 | Na3YSi2O7</x:t>
        </x:is>
      </x:c>
      <x:c r="B6" t="n">
        <x:v>0.4933108025092627</x:v>
      </x:c>
      <x:c r="C6" t="n">
        <x:v>0.5146266341928634</x:v>
      </x:c>
      <x:c r="D6" t="n">
        <x:v>0.6335172436810963</x:v>
      </x:c>
      <x:c r="E6" t="n">
        <x:v>0.7303797772600384</x:v>
      </x:c>
      <x:c r="F6" t="n">
        <x:v>0</x:v>
      </x:c>
      <x:c r="G6" t="n">
        <x:v>0.7679086993404196</x:v>
      </x:c>
      <x:c r="H6" t="n">
        <x:v>0.8381674179288592</x:v>
      </x:c>
      <x:c r="I6" t="n">
        <x:v>0.8264541678869877</x:v>
      </x:c>
      <x:c r="J6" t="n">
        <x:v>0.7078307269018296</x:v>
      </x:c>
      <x:c r="K6" t="n">
        <x:v>0.682992692573851</x:v>
      </x:c>
      <x:c r="L6" t="n">
        <x:v>0.4564768968074586</x:v>
      </x:c>
      <x:c r="M6" t="n">
        <x:v>0.7587467715540123</x:v>
      </x:c>
      <x:c r="N6" t="n">
        <x:v>0.694951726283726</x:v>
      </x:c>
      <x:c r="O6" t="n">
        <x:v>0.4838060990409067</x:v>
      </x:c>
      <x:c r="P6" t="n">
        <x:v>0.6332026309264314</x:v>
      </x:c>
    </x:row>
    <x:row r="7">
      <x:c r="A7" s="1" t="inlineStr">
        <x:is>
          <x:t xml:space="preserve">111 | Ba2MgSi2O7</x:t>
        </x:is>
      </x:c>
      <x:c r="B7" t="n">
        <x:v>0.8795346582990431</x:v>
      </x:c>
      <x:c r="C7" t="n">
        <x:v>0.5667910557466945</x:v>
      </x:c>
      <x:c r="D7" t="n">
        <x:v>0.6337618856766913</x:v>
      </x:c>
      <x:c r="E7" t="n">
        <x:v>0.2307677181609152</x:v>
      </x:c>
      <x:c r="F7" t="n">
        <x:v>0.7679086993404196</x:v>
      </x:c>
      <x:c r="G7" t="n">
        <x:v>0</x:v>
      </x:c>
      <x:c r="H7" t="n">
        <x:v>0.3008927360925709</x:v>
      </x:c>
      <x:c r="I7" t="n">
        <x:v>0.2735816278215564</x:v>
      </x:c>
      <x:c r="J7" t="n">
        <x:v>0.388007949721802</x:v>
      </x:c>
      <x:c r="K7" t="n">
        <x:v>0.7498832344878621</x:v>
      </x:c>
      <x:c r="L7" t="n">
        <x:v>0.7901255158997736</x:v>
      </x:c>
      <x:c r="M7" t="n">
        <x:v>0.3217885451182711</x:v>
      </x:c>
      <x:c r="N7" t="n">
        <x:v>0.6708130011256993</x:v>
      </x:c>
      <x:c r="O7" t="n">
        <x:v>0.6620925482171724</x:v>
      </x:c>
      <x:c r="P7" t="n">
        <x:v>0.8632420658430335</x:v>
      </x:c>
    </x:row>
    <x:row r="8">
      <x:c r="A8" s="1" t="inlineStr">
        <x:is>
          <x:t xml:space="preserve">142 | Ba2Ca(BO3)2</x:t>
        </x:is>
      </x:c>
      <x:c r="B8" t="n">
        <x:v>0.8861020622942298</x:v>
      </x:c>
      <x:c r="C8" t="n">
        <x:v>0.5982698538985873</x:v>
      </x:c>
      <x:c r="D8" t="n">
        <x:v>0.5926452259416981</x:v>
      </x:c>
      <x:c r="E8" t="n">
        <x:v>0.3806704894728451</x:v>
      </x:c>
      <x:c r="F8" t="n">
        <x:v>0.8381674179288592</x:v>
      </x:c>
      <x:c r="G8" t="n">
        <x:v>0.3008927360925709</x:v>
      </x:c>
      <x:c r="H8" t="n">
        <x:v>0</x:v>
      </x:c>
      <x:c r="I8" t="n">
        <x:v>0.5135465503144844</x:v>
      </x:c>
      <x:c r="J8" t="n">
        <x:v>0.4860644975507518</x:v>
      </x:c>
      <x:c r="K8" t="n">
        <x:v>0.7329874084053933</x:v>
      </x:c>
      <x:c r="L8" t="n">
        <x:v>0.7825584222187241</x:v>
      </x:c>
      <x:c r="M8" t="n">
        <x:v>0.3573637048216965</x:v>
      </x:c>
      <x:c r="N8" t="n">
        <x:v>0.7819641910092747</x:v>
      </x:c>
      <x:c r="O8" t="n">
        <x:v>0.7858194827272712</x:v>
      </x:c>
      <x:c r="P8" t="n">
        <x:v>0.86188462393776</x:v>
      </x:c>
    </x:row>
    <x:row r="9">
      <x:c r="A9" s="1" t="inlineStr">
        <x:is>
          <x:t xml:space="preserve">144 | Ba2Mg(PO4)2</x:t>
        </x:is>
      </x:c>
      <x:c r="B9" t="n">
        <x:v>0.967821950585229</x:v>
      </x:c>
      <x:c r="C9" t="n">
        <x:v>0.6636079474448414</x:v>
      </x:c>
      <x:c r="D9" t="n">
        <x:v>0.7232107379833669</x:v>
      </x:c>
      <x:c r="E9" t="n">
        <x:v>0.4369983354110869</x:v>
      </x:c>
      <x:c r="F9" t="n">
        <x:v>0.8264541678869877</x:v>
      </x:c>
      <x:c r="G9" t="n">
        <x:v>0.2735816278215564</x:v>
      </x:c>
      <x:c r="H9" t="n">
        <x:v>0.5135465503144844</x:v>
      </x:c>
      <x:c r="I9" t="n">
        <x:v>0</x:v>
      </x:c>
      <x:c r="J9" t="n">
        <x:v>0.496806234670344</x:v>
      </x:c>
      <x:c r="K9" t="n">
        <x:v>0.8304789138137597</x:v>
      </x:c>
      <x:c r="L9" t="n">
        <x:v>0.8569338360528539</x:v>
      </x:c>
      <x:c r="M9" t="n">
        <x:v>0.5188661426545923</x:v>
      </x:c>
      <x:c r="N9" t="n">
        <x:v>0.622866281183583</x:v>
      </x:c>
      <x:c r="O9" t="n">
        <x:v>0.6527504101471912</x:v>
      </x:c>
      <x:c r="P9" t="n">
        <x:v>0.9092588756453579</x:v>
      </x:c>
    </x:row>
    <x:row r="10">
      <x:c r="A10" s="1" t="inlineStr">
        <x:is>
          <x:t xml:space="preserve">153 | Ba3Si6(NO6)2</x:t>
        </x:is>
      </x:c>
      <x:c r="B10" t="n">
        <x:v>0.8917596093454957</x:v>
      </x:c>
      <x:c r="C10" t="n">
        <x:v>0.7026394277351553</x:v>
      </x:c>
      <x:c r="D10" t="n">
        <x:v>0.7220381959646508</x:v>
      </x:c>
      <x:c r="E10" t="n">
        <x:v>0.4197203254453042</x:v>
      </x:c>
      <x:c r="F10" t="n">
        <x:v>0.7078307269018296</x:v>
      </x:c>
      <x:c r="G10" t="n">
        <x:v>0.388007949721802</x:v>
      </x:c>
      <x:c r="H10" t="n">
        <x:v>0.4860644975507518</x:v>
      </x:c>
      <x:c r="I10" t="n">
        <x:v>0.496806234670344</x:v>
      </x:c>
      <x:c r="J10" t="n">
        <x:v>0</x:v>
      </x:c>
      <x:c r="K10" t="n">
        <x:v>0.662613865690946</x:v>
      </x:c>
      <x:c r="L10" t="n">
        <x:v>0.7436759624299235</x:v>
      </x:c>
      <x:c r="M10" t="n">
        <x:v>0.4981428510203824</x:v>
      </x:c>
      <x:c r="N10" t="n">
        <x:v>0.7883617205934381</x:v>
      </x:c>
      <x:c r="O10" t="n">
        <x:v>0.7084898610296196</x:v>
      </x:c>
      <x:c r="P10" t="n">
        <x:v>1</x:v>
      </x:c>
    </x:row>
    <x:row r="11">
      <x:c r="A11" s="1" t="inlineStr">
        <x:is>
          <x:t xml:space="preserve">157 | BaNa(B3O5)3</x:t>
        </x:is>
      </x:c>
      <x:c r="B11" t="n">
        <x:v>0.8184782011728171</x:v>
      </x:c>
      <x:c r="C11" t="n">
        <x:v>0.6554073644330448</x:v>
      </x:c>
      <x:c r="D11" t="n">
        <x:v>0.7391275912678903</x:v>
      </x:c>
      <x:c r="E11" t="n">
        <x:v>0.7209247294953498</x:v>
      </x:c>
      <x:c r="F11" t="n">
        <x:v>0.682992692573851</x:v>
      </x:c>
      <x:c r="G11" t="n">
        <x:v>0.7498832344878621</x:v>
      </x:c>
      <x:c r="H11" t="n">
        <x:v>0.7329874084053933</x:v>
      </x:c>
      <x:c r="I11" t="n">
        <x:v>0.8304789138137597</x:v>
      </x:c>
      <x:c r="J11" t="n">
        <x:v>0.662613865690946</x:v>
      </x:c>
      <x:c r="K11" t="n">
        <x:v>0</x:v>
      </x:c>
      <x:c r="L11" t="n">
        <x:v>0.6905418018709799</x:v>
      </x:c>
      <x:c r="M11" t="n">
        <x:v>0.8848920036366758</x:v>
      </x:c>
      <x:c r="N11" t="n">
        <x:v>0.8404421106257812</x:v>
      </x:c>
      <x:c r="O11" t="n">
        <x:v>0.7990388556513949</x:v>
      </x:c>
      <x:c r="P11" t="n">
        <x:v>0.8264507783851477</x:v>
      </x:c>
    </x:row>
    <x:row r="12">
      <x:c r="A12" s="1" t="inlineStr">
        <x:is>
          <x:t xml:space="preserve">171 | BaLi2SiO4</x:t>
        </x:is>
      </x:c>
      <x:c r="B12" t="n">
        <x:v>0.320043886792419</x:v>
      </x:c>
      <x:c r="C12" t="n">
        <x:v>0.617173678515576</x:v>
      </x:c>
      <x:c r="D12" t="n">
        <x:v>0.5291535529564718</x:v>
      </x:c>
      <x:c r="E12" t="n">
        <x:v>0.8136414276657642</x:v>
      </x:c>
      <x:c r="F12" t="n">
        <x:v>0.4564768968074586</x:v>
      </x:c>
      <x:c r="G12" t="n">
        <x:v>0.7901255158997736</x:v>
      </x:c>
      <x:c r="H12" t="n">
        <x:v>0.7825584222187241</x:v>
      </x:c>
      <x:c r="I12" t="n">
        <x:v>0.8569338360528539</x:v>
      </x:c>
      <x:c r="J12" t="n">
        <x:v>0.7436759624299235</x:v>
      </x:c>
      <x:c r="K12" t="n">
        <x:v>0.6905418018709799</x:v>
      </x:c>
      <x:c r="L12" t="n">
        <x:v>0</x:v>
      </x:c>
      <x:c r="M12" t="n">
        <x:v>0.8511604758583989</x:v>
      </x:c>
      <x:c r="N12" t="n">
        <x:v>0.6836761192374955</x:v>
      </x:c>
      <x:c r="O12" t="n">
        <x:v>0.6098212305157579</x:v>
      </x:c>
      <x:c r="P12" t="n">
        <x:v>0.49530739556236</x:v>
      </x:c>
    </x:row>
    <x:row r="13">
      <x:c r="A13" s="1" t="inlineStr">
        <x:is>
          <x:t xml:space="preserve">180 | Ba6Y2Al4O15</x:t>
        </x:is>
      </x:c>
      <x:c r="B13" t="n">
        <x:v>0.9179575928117684</x:v>
      </x:c>
      <x:c r="C13" t="n">
        <x:v>0.590601734281369</x:v>
      </x:c>
      <x:c r="D13" t="n">
        <x:v>0.709972941365503</x:v>
      </x:c>
      <x:c r="E13" t="n">
        <x:v>0.3728031992333799</x:v>
      </x:c>
      <x:c r="F13" t="n">
        <x:v>0.7587467715540123</x:v>
      </x:c>
      <x:c r="G13" t="n">
        <x:v>0.3217885451182711</x:v>
      </x:c>
      <x:c r="H13" t="n">
        <x:v>0.3573637048216965</x:v>
      </x:c>
      <x:c r="I13" t="n">
        <x:v>0.5188661426545923</x:v>
      </x:c>
      <x:c r="J13" t="n">
        <x:v>0.4981428510203824</x:v>
      </x:c>
      <x:c r="K13" t="n">
        <x:v>0.8848920036366758</x:v>
      </x:c>
      <x:c r="L13" t="n">
        <x:v>0.8511604758583989</x:v>
      </x:c>
      <x:c r="M13" t="n">
        <x:v>0</x:v>
      </x:c>
      <x:c r="N13" t="n">
        <x:v>0.7737565648696829</x:v>
      </x:c>
      <x:c r="O13" t="n">
        <x:v>0.7614245912039421</x:v>
      </x:c>
      <x:c r="P13" t="n">
        <x:v>0.9395223788451815</x:v>
      </x:c>
    </x:row>
    <x:row r="14">
      <x:c r="A14" s="1" t="inlineStr">
        <x:is>
          <x:t xml:space="preserve">199 | Cs2BaP2O7</x:t>
        </x:is>
      </x:c>
      <x:c r="B14" t="n">
        <x:v>0.7316981625310938</x:v>
      </x:c>
      <x:c r="C14" t="n">
        <x:v>0.4517636207497089</x:v>
      </x:c>
      <x:c r="D14" t="n">
        <x:v>0.6206329644341548</x:v>
      </x:c>
      <x:c r="E14" t="n">
        <x:v>0.7636694987451507</x:v>
      </x:c>
      <x:c r="F14" t="n">
        <x:v>0.694951726283726</x:v>
      </x:c>
      <x:c r="G14" t="n">
        <x:v>0.6708130011256993</x:v>
      </x:c>
      <x:c r="H14" t="n">
        <x:v>0.7819641910092748</x:v>
      </x:c>
      <x:c r="I14" t="n">
        <x:v>0.622866281183583</x:v>
      </x:c>
      <x:c r="J14" t="n">
        <x:v>0.7883617205934383</x:v>
      </x:c>
      <x:c r="K14" t="n">
        <x:v>0.8404421106257812</x:v>
      </x:c>
      <x:c r="L14" t="n">
        <x:v>0.6836761192374955</x:v>
      </x:c>
      <x:c r="M14" t="n">
        <x:v>0.7737565648696829</x:v>
      </x:c>
      <x:c r="N14" t="n">
        <x:v>0</x:v>
      </x:c>
      <x:c r="O14" t="n">
        <x:v>0.5737471520078696</x:v>
      </x:c>
      <x:c r="P14" t="n">
        <x:v>0.6759898177523974</x:v>
      </x:c>
    </x:row>
    <x:row r="15">
      <x:c r="A15" s="1" t="inlineStr">
        <x:is>
          <x:t xml:space="preserve">261 | NaCaPO4</x:t>
        </x:is>
      </x:c>
      <x:c r="B15" t="n">
        <x:v>0.5747862981570692</x:v>
      </x:c>
      <x:c r="C15" t="n">
        <x:v>0.4729567839507712</x:v>
      </x:c>
      <x:c r="D15" t="n">
        <x:v>0.4400259865256679</x:v>
      </x:c>
      <x:c r="E15" t="n">
        <x:v>0.6198103999568239</x:v>
      </x:c>
      <x:c r="F15" t="n">
        <x:v>0.4838060990409067</x:v>
      </x:c>
      <x:c r="G15" t="n">
        <x:v>0.6620925482171723</x:v>
      </x:c>
      <x:c r="H15" t="n">
        <x:v>0.7858194827272713</x:v>
      </x:c>
      <x:c r="I15" t="n">
        <x:v>0.6527504101471912</x:v>
      </x:c>
      <x:c r="J15" t="n">
        <x:v>0.7084898610296196</x:v>
      </x:c>
      <x:c r="K15" t="n">
        <x:v>0.7990388556513949</x:v>
      </x:c>
      <x:c r="L15" t="n">
        <x:v>0.6098212305157579</x:v>
      </x:c>
      <x:c r="M15" t="n">
        <x:v>0.7614245912039421</x:v>
      </x:c>
      <x:c r="N15" t="n">
        <x:v>0.5737471520078696</x:v>
      </x:c>
      <x:c r="O15" t="n">
        <x:v>0</x:v>
      </x:c>
      <x:c r="P15" t="n">
        <x:v>0.6011131014219105</x:v>
      </x:c>
    </x:row>
    <x:row r="16">
      <x:c r="A16" s="1" t="inlineStr">
        <x:is>
          <x:t xml:space="preserve">283 | RbLi7(SiO4)2</x:t>
        </x:is>
      </x:c>
      <x:c r="B16" t="n">
        <x:v>0.3861856498797572</x:v>
      </x:c>
      <x:c r="C16" t="n">
        <x:v>0.5397519183310411</x:v>
      </x:c>
      <x:c r="D16" t="n">
        <x:v>0.5136228562207932</x:v>
      </x:c>
      <x:c r="E16" t="n">
        <x:v>0.8595825215068909</x:v>
      </x:c>
      <x:c r="F16" t="n">
        <x:v>0.6332026309264314</x:v>
      </x:c>
      <x:c r="G16" t="n">
        <x:v>0.8632420658430335</x:v>
      </x:c>
      <x:c r="H16" t="n">
        <x:v>0.86188462393776</x:v>
      </x:c>
      <x:c r="I16" t="n">
        <x:v>0.9092588756453579</x:v>
      </x:c>
      <x:c r="J16" t="n">
        <x:v>1</x:v>
      </x:c>
      <x:c r="K16" t="n">
        <x:v>0.8264507783851477</x:v>
      </x:c>
      <x:c r="L16" t="n">
        <x:v>0.49530739556236</x:v>
      </x:c>
      <x:c r="M16" t="n">
        <x:v>0.9395223788451815</x:v>
      </x:c>
      <x:c r="N16" t="n">
        <x:v>0.6759898177523974</x:v>
      </x:c>
      <x:c r="O16" t="n">
        <x:v>0.6011131014219105</x:v>
      </x:c>
      <x:c r="P16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1" max="11" width="20" hidden="0" customWidth="1"/>
    <x:col min="12" max="12" width="20" hidden="0" customWidth="1"/>
    <x:col min="13" max="13" width="20" hidden="0" customWidth="1"/>
  </x:cols>
  <x:sheetData>
    <x:row r="1">
      <x:c r="A1" s="1" t="inlineStr">
        <x:is>
          <x:t xml:space="preserve">Pair_Rank_From_Nearest</x:t>
        </x:is>
      </x:c>
      <x:c r="B1" s="1" t="inlineStr">
        <x:is>
          <x:t xml:space="preserve">Benchmark_A_Number</x:t>
        </x:is>
      </x:c>
      <x:c r="C1" s="1" t="inlineStr">
        <x:is>
          <x:t xml:space="preserve">Benchmark_A_Composition</x:t>
        </x:is>
      </x:c>
      <x:c r="D1" s="1" t="inlineStr">
        <x:is>
          <x:t xml:space="preserve">Cluster_A</x:t>
        </x:is>
      </x:c>
      <x:c r="E1" s="1" t="inlineStr">
        <x:is>
          <x:t xml:space="preserve">Benchmark_B_Number</x:t>
        </x:is>
      </x:c>
      <x:c r="F1" s="1" t="inlineStr">
        <x:is>
          <x:t xml:space="preserve">Benchmark_B_Composition</x:t>
        </x:is>
      </x:c>
      <x:c r="G1" s="1" t="inlineStr">
        <x:is>
          <x:t xml:space="preserve">Cluster_B</x:t>
        </x:is>
      </x:c>
      <x:c r="H1" s="1" t="inlineStr">
        <x:is>
          <x:t xml:space="preserve">Same_Cluster</x:t>
        </x:is>
      </x:c>
      <x:c r="I1" s="1" t="inlineStr">
        <x:is>
          <x:t xml:space="preserve">Euclidean_Distance</x:t>
        </x:is>
      </x:c>
      <x:c r="J1" s="1" t="inlineStr">
        <x:is>
          <x:t xml:space="preserve">Normalized_Euclidean_Distance</x:t>
        </x:is>
      </x:c>
      <x:c r="K1" s="34" t="str">
        <x:v>Benchmark_A_FWHM_nm</x:v>
      </x:c>
      <x:c r="L1" s="35" t="str">
        <x:v>Benchmark_B_FWHM_nm</x:v>
      </x:c>
      <x:c r="M1" s="36" t="str">
        <x:v>Abs_FWHM_Difference_nm</x:v>
      </x:c>
    </x:row>
    <x:row r="2">
      <x:c r="A2" t="n">
        <x:v>1</x:v>
      </x:c>
      <x:c r="B2" t="n">
        <x:v>17</x:v>
      </x:c>
      <x:c r="C2" t="inlineStr">
        <x:is>
          <x:t xml:space="preserve">SrAl2O4</x:t>
        </x:is>
      </x:c>
      <x:c r="D2" t="n">
        <x:v>2</x:v>
      </x:c>
      <x:c r="E2" t="n">
        <x:v>111</x:v>
      </x:c>
      <x:c r="F2" t="inlineStr">
        <x:is>
          <x:t xml:space="preserve">Ba2MgSi2O7</x:t>
        </x:is>
      </x:c>
      <x:c r="G2" t="n">
        <x:v>2</x:v>
      </x:c>
      <x:c r="H2" t="b">
        <x:v>1</x:v>
      </x:c>
      <x:c r="I2" t="n">
        <x:v>0.6388981088282819</x:v>
      </x:c>
      <x:c r="J2" t="n">
        <x:v>0.2307677181609152</x:v>
      </x:c>
      <x:c r="K2" s="37" t="n">
        <x:f>VLOOKUP(C2,FWHM_Reference!$A$2:$B$16,2,FALSE)</x:f>
        <x:v>77</x:v>
      </x:c>
      <x:c r="L2" s="32" t="n">
        <x:f>VLOOKUP(F2,FWHM_Reference!$A$2:$B$16,2,FALSE)</x:f>
        <x:v>75</x:v>
      </x:c>
      <x:c r="M2" s="38" t="n">
        <x:f>ABS(K2-L2)</x:f>
        <x:v>2</x:v>
      </x:c>
    </x:row>
    <x:row r="3">
      <x:c r="A3" t="n">
        <x:v>2</x:v>
      </x:c>
      <x:c r="B3" t="n">
        <x:v>111</x:v>
      </x:c>
      <x:c r="C3" t="inlineStr">
        <x:is>
          <x:t xml:space="preserve">Ba2MgSi2O7</x:t>
        </x:is>
      </x:c>
      <x:c r="D3" t="n">
        <x:v>2</x:v>
      </x:c>
      <x:c r="E3" t="n">
        <x:v>144</x:v>
      </x:c>
      <x:c r="F3" t="inlineStr">
        <x:is>
          <x:t xml:space="preserve">Ba2Mg(PO4)2</x:t>
        </x:is>
      </x:c>
      <x:c r="G3" t="n">
        <x:v>2</x:v>
      </x:c>
      <x:c r="H3" t="b">
        <x:v>1</x:v>
      </x:c>
      <x:c r="I3" t="n">
        <x:v>0.7574316980656411</x:v>
      </x:c>
      <x:c r="J3" t="n">
        <x:v>0.2735816278215564</x:v>
      </x:c>
      <x:c r="K3" s="37" t="n">
        <x:f>VLOOKUP(C3,FWHM_Reference!$A$2:$B$16,2,FALSE)</x:f>
        <x:v>75</x:v>
      </x:c>
      <x:c r="L3" s="32" t="n">
        <x:f>VLOOKUP(F3,FWHM_Reference!$A$2:$B$16,2,FALSE)</x:f>
        <x:v>120</x:v>
      </x:c>
      <x:c r="M3" s="38" t="n">
        <x:f>ABS(K3-L3)</x:f>
        <x:v>45</x:v>
      </x:c>
    </x:row>
    <x:row r="4">
      <x:c r="A4" t="n">
        <x:v>3</x:v>
      </x:c>
      <x:c r="B4" t="n">
        <x:v>111</x:v>
      </x:c>
      <x:c r="C4" t="inlineStr">
        <x:is>
          <x:t xml:space="preserve">Ba2MgSi2O7</x:t>
        </x:is>
      </x:c>
      <x:c r="D4" t="n">
        <x:v>2</x:v>
      </x:c>
      <x:c r="E4" t="n">
        <x:v>142</x:v>
      </x:c>
      <x:c r="F4" t="inlineStr">
        <x:is>
          <x:t xml:space="preserve">Ba2Ca(BO3)2</x:t>
        </x:is>
      </x:c>
      <x:c r="G4" t="n">
        <x:v>2</x:v>
      </x:c>
      <x:c r="H4" t="b">
        <x:v>1</x:v>
      </x:c>
      <x:c r="I4" t="n">
        <x:v>0.8330445938528602</x:v>
      </x:c>
      <x:c r="J4" t="n">
        <x:v>0.3008927360925709</x:v>
      </x:c>
      <x:c r="K4" s="37" t="n">
        <x:f>VLOOKUP(C4,FWHM_Reference!$A$2:$B$16,2,FALSE)</x:f>
        <x:v>75</x:v>
      </x:c>
      <x:c r="L4" s="32" t="n">
        <x:f>VLOOKUP(F4,FWHM_Reference!$A$2:$B$16,2,FALSE)</x:f>
        <x:v>75</x:v>
      </x:c>
      <x:c r="M4" s="38" t="n">
        <x:f>ABS(K4-L4)</x:f>
        <x:v>0</x:v>
      </x:c>
    </x:row>
    <x:row r="5">
      <x:c r="A5" t="n">
        <x:v>4</x:v>
      </x:c>
      <x:c r="B5" t="n">
        <x:v>14</x:v>
      </x:c>
      <x:c r="C5" t="inlineStr">
        <x:is>
          <x:t xml:space="preserve">K2RbNaLi12(SiO4)4</x:t>
        </x:is>
      </x:c>
      <x:c r="D5" t="n">
        <x:v>4</x:v>
      </x:c>
      <x:c r="E5" t="n">
        <x:v>171</x:v>
      </x:c>
      <x:c r="F5" t="inlineStr">
        <x:is>
          <x:t xml:space="preserve">BaLi2SiO4</x:t>
        </x:is>
      </x:c>
      <x:c r="G5" t="n">
        <x:v>4</x:v>
      </x:c>
      <x:c r="H5" t="b">
        <x:v>1</x:v>
      </x:c>
      <x:c r="I5" t="n">
        <x:v>0.8860660218997692</x:v>
      </x:c>
      <x:c r="J5" t="n">
        <x:v>0.320043886792419</x:v>
      </x:c>
      <x:c r="K5" s="37" t="n">
        <x:f>VLOOKUP(C5,FWHM_Reference!$A$2:$B$16,2,FALSE)</x:f>
        <x:v>51</x:v>
      </x:c>
      <x:c r="L5" s="32" t="n">
        <x:f>VLOOKUP(F5,FWHM_Reference!$A$2:$B$16,2,FALSE)</x:f>
        <x:v>61</x:v>
      </x:c>
      <x:c r="M5" s="38" t="n">
        <x:f>ABS(K5-L5)</x:f>
        <x:v>10</x:v>
      </x:c>
    </x:row>
    <x:row r="6">
      <x:c r="A6" t="n">
        <x:v>5</x:v>
      </x:c>
      <x:c r="B6" t="n">
        <x:v>111</x:v>
      </x:c>
      <x:c r="C6" t="inlineStr">
        <x:is>
          <x:t xml:space="preserve">Ba2MgSi2O7</x:t>
        </x:is>
      </x:c>
      <x:c r="D6" t="n">
        <x:v>2</x:v>
      </x:c>
      <x:c r="E6" t="n">
        <x:v>180</x:v>
      </x:c>
      <x:c r="F6" t="inlineStr">
        <x:is>
          <x:t xml:space="preserve">Ba6Y2Al4O15</x:t>
        </x:is>
      </x:c>
      <x:c r="G6" t="n">
        <x:v>2</x:v>
      </x:c>
      <x:c r="H6" t="b">
        <x:v>1</x:v>
      </x:c>
      <x:c r="I6" t="n">
        <x:v>0.8908962421481714</x:v>
      </x:c>
      <x:c r="J6" t="n">
        <x:v>0.3217885451182711</x:v>
      </x:c>
      <x:c r="K6" s="37" t="n">
        <x:f>VLOOKUP(C6,FWHM_Reference!$A$2:$B$16,2,FALSE)</x:f>
        <x:v>75</x:v>
      </x:c>
      <x:c r="L6" s="32" t="n">
        <x:f>VLOOKUP(F6,FWHM_Reference!$A$2:$B$16,2,FALSE)</x:f>
        <x:v>69</x:v>
      </x:c>
      <x:c r="M6" s="38" t="n">
        <x:f>ABS(K6-L6)</x:f>
        <x:v>6</x:v>
      </x:c>
    </x:row>
    <x:row r="7">
      <x:c r="A7" t="n">
        <x:v>6</x:v>
      </x:c>
      <x:c r="B7" t="n">
        <x:v>142</x:v>
      </x:c>
      <x:c r="C7" t="inlineStr">
        <x:is>
          <x:t xml:space="preserve">Ba2Ca(BO3)2</x:t>
        </x:is>
      </x:c>
      <x:c r="D7" t="n">
        <x:v>2</x:v>
      </x:c>
      <x:c r="E7" t="n">
        <x:v>180</x:v>
      </x:c>
      <x:c r="F7" t="inlineStr">
        <x:is>
          <x:t xml:space="preserve">Ba6Y2Al4O15</x:t>
        </x:is>
      </x:c>
      <x:c r="G7" t="n">
        <x:v>2</x:v>
      </x:c>
      <x:c r="H7" t="b">
        <x:v>1</x:v>
      </x:c>
      <x:c r="I7" t="n">
        <x:v>0.9893887975060818</x:v>
      </x:c>
      <x:c r="J7" t="n">
        <x:v>0.3573637048216965</x:v>
      </x:c>
      <x:c r="K7" s="37" t="n">
        <x:f>VLOOKUP(C7,FWHM_Reference!$A$2:$B$16,2,FALSE)</x:f>
        <x:v>75</x:v>
      </x:c>
      <x:c r="L7" s="32" t="n">
        <x:f>VLOOKUP(F7,FWHM_Reference!$A$2:$B$16,2,FALSE)</x:f>
        <x:v>69</x:v>
      </x:c>
      <x:c r="M7" s="38" t="n">
        <x:f>ABS(K7-L7)</x:f>
        <x:v>6</x:v>
      </x:c>
    </x:row>
    <x:row r="8">
      <x:c r="A8" t="n">
        <x:v>7</x:v>
      </x:c>
      <x:c r="B8" t="n">
        <x:v>17</x:v>
      </x:c>
      <x:c r="C8" t="inlineStr">
        <x:is>
          <x:t xml:space="preserve">SrAl2O4</x:t>
        </x:is>
      </x:c>
      <x:c r="D8" t="n">
        <x:v>2</x:v>
      </x:c>
      <x:c r="E8" t="n">
        <x:v>180</x:v>
      </x:c>
      <x:c r="F8" t="inlineStr">
        <x:is>
          <x:t xml:space="preserve">Ba6Y2Al4O15</x:t>
        </x:is>
      </x:c>
      <x:c r="G8" t="n">
        <x:v>2</x:v>
      </x:c>
      <x:c r="H8" t="b">
        <x:v>1</x:v>
      </x:c>
      <x:c r="I8" t="n">
        <x:v>1.032134220737294</x:v>
      </x:c>
      <x:c r="J8" t="n">
        <x:v>0.3728031992333799</x:v>
      </x:c>
      <x:c r="K8" s="37" t="n">
        <x:f>VLOOKUP(C8,FWHM_Reference!$A$2:$B$16,2,FALSE)</x:f>
        <x:v>77</x:v>
      </x:c>
      <x:c r="L8" s="32" t="n">
        <x:f>VLOOKUP(F8,FWHM_Reference!$A$2:$B$16,2,FALSE)</x:f>
        <x:v>69</x:v>
      </x:c>
      <x:c r="M8" s="38" t="n">
        <x:f>ABS(K8-L8)</x:f>
        <x:v>8</x:v>
      </x:c>
    </x:row>
    <x:row r="9">
      <x:c r="A9" t="n">
        <x:v>8</x:v>
      </x:c>
      <x:c r="B9" t="n">
        <x:v>17</x:v>
      </x:c>
      <x:c r="C9" t="inlineStr">
        <x:is>
          <x:t xml:space="preserve">SrAl2O4</x:t>
        </x:is>
      </x:c>
      <x:c r="D9" t="n">
        <x:v>2</x:v>
      </x:c>
      <x:c r="E9" t="n">
        <x:v>142</x:v>
      </x:c>
      <x:c r="F9" t="inlineStr">
        <x:is>
          <x:t xml:space="preserve">Ba2Ca(BO3)2</x:t>
        </x:is>
      </x:c>
      <x:c r="G9" t="n">
        <x:v>2</x:v>
      </x:c>
      <x:c r="H9" t="b">
        <x:v>1</x:v>
      </x:c>
      <x:c r="I9" t="n">
        <x:v>1.053915416546027</x:v>
      </x:c>
      <x:c r="J9" t="n">
        <x:v>0.3806704894728451</x:v>
      </x:c>
      <x:c r="K9" s="37" t="n">
        <x:f>VLOOKUP(C9,FWHM_Reference!$A$2:$B$16,2,FALSE)</x:f>
        <x:v>77</x:v>
      </x:c>
      <x:c r="L9" s="32" t="n">
        <x:f>VLOOKUP(F9,FWHM_Reference!$A$2:$B$16,2,FALSE)</x:f>
        <x:v>75</x:v>
      </x:c>
      <x:c r="M9" s="38" t="n">
        <x:f>ABS(K9-L9)</x:f>
        <x:v>2</x:v>
      </x:c>
    </x:row>
    <x:row r="10">
      <x:c r="A10" t="n">
        <x:v>9</x:v>
      </x:c>
      <x:c r="B10" t="n">
        <x:v>14</x:v>
      </x:c>
      <x:c r="C10" t="inlineStr">
        <x:is>
          <x:t xml:space="preserve">K2RbNaLi12(SiO4)4</x:t>
        </x:is>
      </x:c>
      <x:c r="D10" t="n">
        <x:v>4</x:v>
      </x:c>
      <x:c r="E10" t="n">
        <x:v>283</x:v>
      </x:c>
      <x:c r="F10" t="inlineStr">
        <x:is>
          <x:t xml:space="preserve">RbLi7(SiO4)2</x:t>
        </x:is>
      </x:c>
      <x:c r="G10" t="n">
        <x:v>4</x:v>
      </x:c>
      <x:c r="H10" t="b">
        <x:v>1</x:v>
      </x:c>
      <x:c r="I10" t="n">
        <x:v>1.06918456069644</x:v>
      </x:c>
      <x:c r="J10" t="n">
        <x:v>0.3861856498797572</x:v>
      </x:c>
      <x:c r="K10" s="37" t="n">
        <x:f>VLOOKUP(C10,FWHM_Reference!$A$2:$B$16,2,FALSE)</x:f>
        <x:v>51</x:v>
      </x:c>
      <x:c r="L10" s="32" t="n">
        <x:f>VLOOKUP(F10,FWHM_Reference!$A$2:$B$16,2,FALSE)</x:f>
        <x:v>42</x:v>
      </x:c>
      <x:c r="M10" s="38" t="n">
        <x:f>ABS(K10-L10)</x:f>
        <x:v>9</x:v>
      </x:c>
    </x:row>
    <x:row r="11">
      <x:c r="A11" t="n">
        <x:v>10</x:v>
      </x:c>
      <x:c r="B11" t="n">
        <x:v>111</x:v>
      </x:c>
      <x:c r="C11" t="inlineStr">
        <x:is>
          <x:t xml:space="preserve">Ba2MgSi2O7</x:t>
        </x:is>
      </x:c>
      <x:c r="D11" t="n">
        <x:v>2</x:v>
      </x:c>
      <x:c r="E11" t="n">
        <x:v>153</x:v>
      </x:c>
      <x:c r="F11" t="inlineStr">
        <x:is>
          <x:t xml:space="preserve">Ba3Si6(NO6)2</x:t>
        </x:is>
      </x:c>
      <x:c r="G11" t="n">
        <x:v>2</x:v>
      </x:c>
      <x:c r="H11" t="b">
        <x:v>1</x:v>
      </x:c>
      <x:c r="I11" t="n">
        <x:v>1.074229737431206</x:v>
      </x:c>
      <x:c r="J11" t="n">
        <x:v>0.388007949721802</x:v>
      </x:c>
      <x:c r="K11" s="37" t="n">
        <x:f>VLOOKUP(C11,FWHM_Reference!$A$2:$B$16,2,FALSE)</x:f>
        <x:v>75</x:v>
      </x:c>
      <x:c r="L11" s="32" t="n">
        <x:f>VLOOKUP(F11,FWHM_Reference!$A$2:$B$16,2,FALSE)</x:f>
        <x:v>68</x:v>
      </x:c>
      <x:c r="M11" s="38" t="n">
        <x:f>ABS(K11-L11)</x:f>
        <x:v>7</x:v>
      </x:c>
    </x:row>
    <x:row r="12">
      <x:c r="A12" t="n">
        <x:v>11</x:v>
      </x:c>
      <x:c r="B12" t="n">
        <x:v>17</x:v>
      </x:c>
      <x:c r="C12" t="inlineStr">
        <x:is>
          <x:t xml:space="preserve">SrAl2O4</x:t>
        </x:is>
      </x:c>
      <x:c r="D12" t="n">
        <x:v>2</x:v>
      </x:c>
      <x:c r="E12" t="n">
        <x:v>153</x:v>
      </x:c>
      <x:c r="F12" t="inlineStr">
        <x:is>
          <x:t xml:space="preserve">Ba3Si6(NO6)2</x:t>
        </x:is>
      </x:c>
      <x:c r="G12" t="n">
        <x:v>2</x:v>
      </x:c>
      <x:c r="H12" t="b">
        <x:v>1</x:v>
      </x:c>
      <x:c r="I12" t="n">
        <x:v>1.162027879379593</x:v>
      </x:c>
      <x:c r="J12" t="n">
        <x:v>0.4197203254453042</x:v>
      </x:c>
      <x:c r="K12" s="37" t="n">
        <x:f>VLOOKUP(C12,FWHM_Reference!$A$2:$B$16,2,FALSE)</x:f>
        <x:v>77</x:v>
      </x:c>
      <x:c r="L12" s="32" t="n">
        <x:f>VLOOKUP(F12,FWHM_Reference!$A$2:$B$16,2,FALSE)</x:f>
        <x:v>68</x:v>
      </x:c>
      <x:c r="M12" s="38" t="n">
        <x:f>ABS(K12-L12)</x:f>
        <x:v>9</x:v>
      </x:c>
    </x:row>
    <x:row r="13">
      <x:c r="A13" t="n">
        <x:v>12</x:v>
      </x:c>
      <x:c r="B13" t="n">
        <x:v>15</x:v>
      </x:c>
      <x:c r="C13" t="inlineStr">
        <x:is>
          <x:t xml:space="preserve">Rb2ZrSi2O7</x:t>
        </x:is>
      </x:c>
      <x:c r="D13" t="n">
        <x:v>4</x:v>
      </x:c>
      <x:c r="E13" t="n">
        <x:v>16</x:v>
      </x:c>
      <x:c r="F13" t="inlineStr">
        <x:is>
          <x:t xml:space="preserve">Sr2LiSiO4F</x:t>
        </x:is>
      </x:c>
      <x:c r="G13" t="n">
        <x:v>4</x:v>
      </x:c>
      <x:c r="H13" t="b">
        <x:v>1</x:v>
      </x:c>
      <x:c r="I13" t="n">
        <x:v>1.209199024727265</x:v>
      </x:c>
      <x:c r="J13" t="n">
        <x:v>0.4367583749002994</x:v>
      </x:c>
      <x:c r="K13" s="37" t="n">
        <x:f>VLOOKUP(C13,FWHM_Reference!$A$2:$B$16,2,FALSE)</x:f>
        <x:v>91</x:v>
      </x:c>
      <x:c r="L13" s="32" t="n">
        <x:f>VLOOKUP(F13,FWHM_Reference!$A$2:$B$16,2,FALSE)</x:f>
        <x:v>100</x:v>
      </x:c>
      <x:c r="M13" s="38" t="n">
        <x:f>ABS(K13-L13)</x:f>
        <x:v>9</x:v>
      </x:c>
    </x:row>
    <x:row r="14">
      <x:c r="A14" t="n">
        <x:v>13</x:v>
      </x:c>
      <x:c r="B14" t="n">
        <x:v>17</x:v>
      </x:c>
      <x:c r="C14" t="inlineStr">
        <x:is>
          <x:t xml:space="preserve">SrAl2O4</x:t>
        </x:is>
      </x:c>
      <x:c r="D14" t="n">
        <x:v>2</x:v>
      </x:c>
      <x:c r="E14" t="n">
        <x:v>144</x:v>
      </x:c>
      <x:c r="F14" t="inlineStr">
        <x:is>
          <x:t xml:space="preserve">Ba2Mg(PO4)2</x:t>
        </x:is>
      </x:c>
      <x:c r="G14" t="n">
        <x:v>2</x:v>
      </x:c>
      <x:c r="H14" t="b">
        <x:v>1</x:v>
      </x:c>
      <x:c r="I14" t="n">
        <x:v>1.209863373786819</x:v>
      </x:c>
      <x:c r="J14" t="n">
        <x:v>0.4369983354110869</x:v>
      </x:c>
      <x:c r="K14" s="37" t="n">
        <x:f>VLOOKUP(C14,FWHM_Reference!$A$2:$B$16,2,FALSE)</x:f>
        <x:v>77</x:v>
      </x:c>
      <x:c r="L14" s="32" t="n">
        <x:f>VLOOKUP(F14,FWHM_Reference!$A$2:$B$16,2,FALSE)</x:f>
        <x:v>120</x:v>
      </x:c>
      <x:c r="M14" s="38" t="n">
        <x:f>ABS(K14-L14)</x:f>
        <x:v>43</x:v>
      </x:c>
    </x:row>
    <x:row r="15">
      <x:c r="A15" t="n">
        <x:v>14</x:v>
      </x:c>
      <x:c r="B15" t="n">
        <x:v>16</x:v>
      </x:c>
      <x:c r="C15" t="inlineStr">
        <x:is>
          <x:t xml:space="preserve">Sr2LiSiO4F</x:t>
        </x:is>
      </x:c>
      <x:c r="D15" t="n">
        <x:v>4</x:v>
      </x:c>
      <x:c r="E15" t="n">
        <x:v>261</x:v>
      </x:c>
      <x:c r="F15" t="inlineStr">
        <x:is>
          <x:t xml:space="preserve">NaCaPO4</x:t>
        </x:is>
      </x:c>
      <x:c r="G15" t="n">
        <x:v>4</x:v>
      </x:c>
      <x:c r="H15" t="b">
        <x:v>1</x:v>
      </x:c>
      <x:c r="I15" t="n">
        <x:v>1.21824565787193</x:v>
      </x:c>
      <x:c r="J15" t="n">
        <x:v>0.4400259865256679</x:v>
      </x:c>
      <x:c r="K15" s="37" t="n">
        <x:f>VLOOKUP(C15,FWHM_Reference!$A$2:$B$16,2,FALSE)</x:f>
        <x:v>100</x:v>
      </x:c>
      <x:c r="L15" s="32" t="n">
        <x:f>VLOOKUP(F15,FWHM_Reference!$A$2:$B$16,2,FALSE)</x:f>
        <x:v>65</x:v>
      </x:c>
      <x:c r="M15" s="38" t="n">
        <x:f>ABS(K15-L15)</x:f>
        <x:v>35</x:v>
      </x:c>
    </x:row>
    <x:row r="16">
      <x:c r="A16" t="n">
        <x:v>15</x:v>
      </x:c>
      <x:c r="B16" t="n">
        <x:v>15</x:v>
      </x:c>
      <x:c r="C16" t="inlineStr">
        <x:is>
          <x:t xml:space="preserve">Rb2ZrSi2O7</x:t>
        </x:is>
      </x:c>
      <x:c r="D16" t="n">
        <x:v>4</x:v>
      </x:c>
      <x:c r="E16" t="n">
        <x:v>199</x:v>
      </x:c>
      <x:c r="F16" t="inlineStr">
        <x:is>
          <x:t xml:space="preserve">Cs2BaP2O7</x:t>
        </x:is>
      </x:c>
      <x:c r="G16" t="n">
        <x:v>4</x:v>
      </x:c>
      <x:c r="H16" t="b">
        <x:v>1</x:v>
      </x:c>
      <x:c r="I16" t="n">
        <x:v>1.250742197542304</x:v>
      </x:c>
      <x:c r="J16" t="n">
        <x:v>0.4517636207497089</x:v>
      </x:c>
      <x:c r="K16" s="37" t="n">
        <x:f>VLOOKUP(C16,FWHM_Reference!$A$2:$B$16,2,FALSE)</x:f>
        <x:v>91</x:v>
      </x:c>
      <x:c r="L16" s="32" t="n">
        <x:f>VLOOKUP(F16,FWHM_Reference!$A$2:$B$16,2,FALSE)</x:f>
        <x:v>100</x:v>
      </x:c>
      <x:c r="M16" s="38" t="n">
        <x:f>ABS(K16-L16)</x:f>
        <x:v>9</x:v>
      </x:c>
    </x:row>
    <x:row r="17">
      <x:c r="A17" t="n">
        <x:v>16</x:v>
      </x:c>
      <x:c r="B17" t="n">
        <x:v>95</x:v>
      </x:c>
      <x:c r="C17" t="inlineStr">
        <x:is>
          <x:t xml:space="preserve">Na3YSi2O7</x:t>
        </x:is>
      </x:c>
      <x:c r="D17" t="n">
        <x:v>4</x:v>
      </x:c>
      <x:c r="E17" t="n">
        <x:v>171</x:v>
      </x:c>
      <x:c r="F17" t="inlineStr">
        <x:is>
          <x:t xml:space="preserve">BaLi2SiO4</x:t>
        </x:is>
      </x:c>
      <x:c r="G17" t="n">
        <x:v>4</x:v>
      </x:c>
      <x:c r="H17" t="b">
        <x:v>1</x:v>
      </x:c>
      <x:c r="I17" t="n">
        <x:v>1.263791263432803</x:v>
      </x:c>
      <x:c r="J17" t="n">
        <x:v>0.4564768968074586</x:v>
      </x:c>
      <x:c r="K17" s="37" t="n">
        <x:f>VLOOKUP(C17,FWHM_Reference!$A$2:$B$16,2,FALSE)</x:f>
        <x:v>105</x:v>
      </x:c>
      <x:c r="L17" s="32" t="n">
        <x:f>VLOOKUP(F17,FWHM_Reference!$A$2:$B$16,2,FALSE)</x:f>
        <x:v>61</x:v>
      </x:c>
      <x:c r="M17" s="38" t="n">
        <x:f>ABS(K17-L17)</x:f>
        <x:v>44</x:v>
      </x:c>
    </x:row>
    <x:row r="18">
      <x:c r="A18" t="n">
        <x:v>17</x:v>
      </x:c>
      <x:c r="B18" t="n">
        <x:v>15</x:v>
      </x:c>
      <x:c r="C18" t="inlineStr">
        <x:is>
          <x:t xml:space="preserve">Rb2ZrSi2O7</x:t>
        </x:is>
      </x:c>
      <x:c r="D18" t="n">
        <x:v>4</x:v>
      </x:c>
      <x:c r="E18" t="n">
        <x:v>261</x:v>
      </x:c>
      <x:c r="F18" t="inlineStr">
        <x:is>
          <x:t xml:space="preserve">NaCaPO4</x:t>
        </x:is>
      </x:c>
      <x:c r="G18" t="n">
        <x:v>4</x:v>
      </x:c>
      <x:c r="H18" t="b">
        <x:v>1</x:v>
      </x:c>
      <x:c r="I18" t="n">
        <x:v>1.309417093654967</x:v>
      </x:c>
      <x:c r="J18" t="n">
        <x:v>0.4729567839507712</x:v>
      </x:c>
      <x:c r="K18" s="37" t="n">
        <x:f>VLOOKUP(C18,FWHM_Reference!$A$2:$B$16,2,FALSE)</x:f>
        <x:v>91</x:v>
      </x:c>
      <x:c r="L18" s="32" t="n">
        <x:f>VLOOKUP(F18,FWHM_Reference!$A$2:$B$16,2,FALSE)</x:f>
        <x:v>65</x:v>
      </x:c>
      <x:c r="M18" s="38" t="n">
        <x:f>ABS(K18-L18)</x:f>
        <x:v>26</x:v>
      </x:c>
    </x:row>
    <x:row r="19">
      <x:c r="A19" t="n">
        <x:v>18</x:v>
      </x:c>
      <x:c r="B19" t="n">
        <x:v>95</x:v>
      </x:c>
      <x:c r="C19" t="inlineStr">
        <x:is>
          <x:t xml:space="preserve">Na3YSi2O7</x:t>
        </x:is>
      </x:c>
      <x:c r="D19" t="n">
        <x:v>4</x:v>
      </x:c>
      <x:c r="E19" t="n">
        <x:v>261</x:v>
      </x:c>
      <x:c r="F19" t="inlineStr">
        <x:is>
          <x:t xml:space="preserve">NaCaPO4</x:t>
        </x:is>
      </x:c>
      <x:c r="G19" t="n">
        <x:v>4</x:v>
      </x:c>
      <x:c r="H19" t="b">
        <x:v>1</x:v>
      </x:c>
      <x:c r="I19" t="n">
        <x:v>1.339454253741354</x:v>
      </x:c>
      <x:c r="J19" t="n">
        <x:v>0.4838060990409067</x:v>
      </x:c>
      <x:c r="K19" s="37" t="n">
        <x:f>VLOOKUP(C19,FWHM_Reference!$A$2:$B$16,2,FALSE)</x:f>
        <x:v>105</x:v>
      </x:c>
      <x:c r="L19" s="32" t="n">
        <x:f>VLOOKUP(F19,FWHM_Reference!$A$2:$B$16,2,FALSE)</x:f>
        <x:v>65</x:v>
      </x:c>
      <x:c r="M19" s="38" t="n">
        <x:f>ABS(K19-L19)</x:f>
        <x:v>40</x:v>
      </x:c>
    </x:row>
    <x:row r="20">
      <x:c r="A20" t="n">
        <x:v>19</x:v>
      </x:c>
      <x:c r="B20" t="n">
        <x:v>142</x:v>
      </x:c>
      <x:c r="C20" t="inlineStr">
        <x:is>
          <x:t xml:space="preserve">Ba2Ca(BO3)2</x:t>
        </x:is>
      </x:c>
      <x:c r="D20" t="n">
        <x:v>2</x:v>
      </x:c>
      <x:c r="E20" t="n">
        <x:v>153</x:v>
      </x:c>
      <x:c r="F20" t="inlineStr">
        <x:is>
          <x:t xml:space="preserve">Ba3Si6(NO6)2</x:t>
        </x:is>
      </x:c>
      <x:c r="G20" t="n">
        <x:v>2</x:v>
      </x:c>
      <x:c r="H20" t="b">
        <x:v>1</x:v>
      </x:c>
      <x:c r="I20" t="n">
        <x:v>1.345706803051195</x:v>
      </x:c>
      <x:c r="J20" t="n">
        <x:v>0.4860644975507518</x:v>
      </x:c>
      <x:c r="K20" s="37" t="n">
        <x:f>VLOOKUP(C20,FWHM_Reference!$A$2:$B$16,2,FALSE)</x:f>
        <x:v>75</x:v>
      </x:c>
      <x:c r="L20" s="32" t="n">
        <x:f>VLOOKUP(F20,FWHM_Reference!$A$2:$B$16,2,FALSE)</x:f>
        <x:v>68</x:v>
      </x:c>
      <x:c r="M20" s="38" t="n">
        <x:f>ABS(K20-L20)</x:f>
        <x:v>7</x:v>
      </x:c>
    </x:row>
    <x:row r="21">
      <x:c r="A21" t="n">
        <x:v>20</x:v>
      </x:c>
      <x:c r="B21" t="n">
        <x:v>14</x:v>
      </x:c>
      <x:c r="C21" t="inlineStr">
        <x:is>
          <x:t xml:space="preserve">K2RbNaLi12(SiO4)4</x:t>
        </x:is>
      </x:c>
      <x:c r="D21" t="n">
        <x:v>4</x:v>
      </x:c>
      <x:c r="E21" t="n">
        <x:v>95</x:v>
      </x:c>
      <x:c r="F21" t="inlineStr">
        <x:is>
          <x:t xml:space="preserve">Na3YSi2O7</x:t>
        </x:is>
      </x:c>
      <x:c r="G21" t="n">
        <x:v>4</x:v>
      </x:c>
      <x:c r="H21" t="b">
        <x:v>1</x:v>
      </x:c>
      <x:c r="I21" t="n">
        <x:v>1.365768753530583</x:v>
      </x:c>
      <x:c r="J21" t="n">
        <x:v>0.4933108025092627</x:v>
      </x:c>
      <x:c r="K21" s="37" t="n">
        <x:f>VLOOKUP(C21,FWHM_Reference!$A$2:$B$16,2,FALSE)</x:f>
        <x:v>51</x:v>
      </x:c>
      <x:c r="L21" s="32" t="n">
        <x:f>VLOOKUP(F21,FWHM_Reference!$A$2:$B$16,2,FALSE)</x:f>
        <x:v>105</x:v>
      </x:c>
      <x:c r="M21" s="38" t="n">
        <x:f>ABS(K21-L21)</x:f>
        <x:v>54</x:v>
      </x:c>
    </x:row>
    <x:row r="22">
      <x:c r="A22" t="n">
        <x:v>21</x:v>
      </x:c>
      <x:c r="B22" t="n">
        <x:v>171</x:v>
      </x:c>
      <x:c r="C22" t="inlineStr">
        <x:is>
          <x:t xml:space="preserve">BaLi2SiO4</x:t>
        </x:is>
      </x:c>
      <x:c r="D22" t="n">
        <x:v>4</x:v>
      </x:c>
      <x:c r="E22" t="n">
        <x:v>283</x:v>
      </x:c>
      <x:c r="F22" t="inlineStr">
        <x:is>
          <x:t xml:space="preserve">RbLi7(SiO4)2</x:t>
        </x:is>
      </x:c>
      <x:c r="G22" t="n">
        <x:v>4</x:v>
      </x:c>
      <x:c r="H22" t="b">
        <x:v>1</x:v>
      </x:c>
      <x:c r="I22" t="n">
        <x:v>1.37129647437425</x:v>
      </x:c>
      <x:c r="J22" t="n">
        <x:v>0.49530739556236</x:v>
      </x:c>
      <x:c r="K22" s="37" t="n">
        <x:f>VLOOKUP(C22,FWHM_Reference!$A$2:$B$16,2,FALSE)</x:f>
        <x:v>61</x:v>
      </x:c>
      <x:c r="L22" s="32" t="n">
        <x:f>VLOOKUP(F22,FWHM_Reference!$A$2:$B$16,2,FALSE)</x:f>
        <x:v>42</x:v>
      </x:c>
      <x:c r="M22" s="38" t="n">
        <x:f>ABS(K22-L22)</x:f>
        <x:v>19</x:v>
      </x:c>
    </x:row>
    <x:row r="23">
      <x:c r="A23" t="n">
        <x:v>22</x:v>
      </x:c>
      <x:c r="B23" t="n">
        <x:v>144</x:v>
      </x:c>
      <x:c r="C23" t="inlineStr">
        <x:is>
          <x:t xml:space="preserve">Ba2Mg(PO4)2</x:t>
        </x:is>
      </x:c>
      <x:c r="D23" t="n">
        <x:v>2</x:v>
      </x:c>
      <x:c r="E23" t="n">
        <x:v>153</x:v>
      </x:c>
      <x:c r="F23" t="inlineStr">
        <x:is>
          <x:t xml:space="preserve">Ba3Si6(NO6)2</x:t>
        </x:is>
      </x:c>
      <x:c r="G23" t="n">
        <x:v>2</x:v>
      </x:c>
      <x:c r="H23" t="b">
        <x:v>1</x:v>
      </x:c>
      <x:c r="I23" t="n">
        <x:v>1.375446125283659</x:v>
      </x:c>
      <x:c r="J23" t="n">
        <x:v>0.496806234670344</x:v>
      </x:c>
      <x:c r="K23" s="37" t="n">
        <x:f>VLOOKUP(C23,FWHM_Reference!$A$2:$B$16,2,FALSE)</x:f>
        <x:v>120</x:v>
      </x:c>
      <x:c r="L23" s="32" t="n">
        <x:f>VLOOKUP(F23,FWHM_Reference!$A$2:$B$16,2,FALSE)</x:f>
        <x:v>68</x:v>
      </x:c>
      <x:c r="M23" s="38" t="n">
        <x:f>ABS(K23-L23)</x:f>
        <x:v>52</x:v>
      </x:c>
    </x:row>
    <x:row r="24">
      <x:c r="A24" t="n">
        <x:v>23</x:v>
      </x:c>
      <x:c r="B24" t="n">
        <x:v>153</x:v>
      </x:c>
      <x:c r="C24" t="inlineStr">
        <x:is>
          <x:t xml:space="preserve">Ba3Si6(NO6)2</x:t>
        </x:is>
      </x:c>
      <x:c r="D24" t="n">
        <x:v>2</x:v>
      </x:c>
      <x:c r="E24" t="n">
        <x:v>180</x:v>
      </x:c>
      <x:c r="F24" t="inlineStr">
        <x:is>
          <x:t xml:space="preserve">Ba6Y2Al4O15</x:t>
        </x:is>
      </x:c>
      <x:c r="G24" t="n">
        <x:v>2</x:v>
      </x:c>
      <x:c r="H24" t="b">
        <x:v>1</x:v>
      </x:c>
      <x:c r="I24" t="n">
        <x:v>1.379146650058416</x:v>
      </x:c>
      <x:c r="J24" t="n">
        <x:v>0.4981428510203824</x:v>
      </x:c>
      <x:c r="K24" s="37" t="n">
        <x:f>VLOOKUP(C24,FWHM_Reference!$A$2:$B$16,2,FALSE)</x:f>
        <x:v>68</x:v>
      </x:c>
      <x:c r="L24" s="32" t="n">
        <x:f>VLOOKUP(F24,FWHM_Reference!$A$2:$B$16,2,FALSE)</x:f>
        <x:v>69</x:v>
      </x:c>
      <x:c r="M24" s="38" t="n">
        <x:f>ABS(K24-L24)</x:f>
        <x:v>1</x:v>
      </x:c>
    </x:row>
    <x:row r="25">
      <x:c r="A25" t="n">
        <x:v>24</x:v>
      </x:c>
      <x:c r="B25" t="n">
        <x:v>14</x:v>
      </x:c>
      <x:c r="C25" t="inlineStr">
        <x:is>
          <x:t xml:space="preserve">K2RbNaLi12(SiO4)4</x:t>
        </x:is>
      </x:c>
      <x:c r="D25" t="n">
        <x:v>4</x:v>
      </x:c>
      <x:c r="E25" t="n">
        <x:v>16</x:v>
      </x:c>
      <x:c r="F25" t="inlineStr">
        <x:is>
          <x:t xml:space="preserve">Sr2LiSiO4F</x:t>
        </x:is>
      </x:c>
      <x:c r="G25" t="n">
        <x:v>4</x:v>
      </x:c>
      <x:c r="H25" t="b">
        <x:v>1</x:v>
      </x:c>
      <x:c r="I25" t="n">
        <x:v>1.400528067241995</x:v>
      </x:c>
      <x:c r="J25" t="n">
        <x:v>0.505865742646326</x:v>
      </x:c>
      <x:c r="K25" s="37" t="n">
        <x:f>VLOOKUP(C25,FWHM_Reference!$A$2:$B$16,2,FALSE)</x:f>
        <x:v>51</x:v>
      </x:c>
      <x:c r="L25" s="32" t="n">
        <x:f>VLOOKUP(F25,FWHM_Reference!$A$2:$B$16,2,FALSE)</x:f>
        <x:v>100</x:v>
      </x:c>
      <x:c r="M25" s="38" t="n">
        <x:f>ABS(K25-L25)</x:f>
        <x:v>49</x:v>
      </x:c>
    </x:row>
    <x:row r="26">
      <x:c r="A26" t="n">
        <x:v>25</x:v>
      </x:c>
      <x:c r="B26" t="n">
        <x:v>142</x:v>
      </x:c>
      <x:c r="C26" t="inlineStr">
        <x:is>
          <x:t xml:space="preserve">Ba2Ca(BO3)2</x:t>
        </x:is>
      </x:c>
      <x:c r="D26" t="n">
        <x:v>2</x:v>
      </x:c>
      <x:c r="E26" t="n">
        <x:v>144</x:v>
      </x:c>
      <x:c r="F26" t="inlineStr">
        <x:is>
          <x:t xml:space="preserve">Ba2Mg(PO4)2</x:t>
        </x:is>
      </x:c>
      <x:c r="G26" t="n">
        <x:v>2</x:v>
      </x:c>
      <x:c r="H26" t="b">
        <x:v>1</x:v>
      </x:c>
      <x:c r="I26" t="n">
        <x:v>1.421792971764032</x:v>
      </x:c>
      <x:c r="J26" t="n">
        <x:v>0.5135465503144844</x:v>
      </x:c>
      <x:c r="K26" s="37" t="n">
        <x:f>VLOOKUP(C26,FWHM_Reference!$A$2:$B$16,2,FALSE)</x:f>
        <x:v>75</x:v>
      </x:c>
      <x:c r="L26" s="32" t="n">
        <x:f>VLOOKUP(F26,FWHM_Reference!$A$2:$B$16,2,FALSE)</x:f>
        <x:v>120</x:v>
      </x:c>
      <x:c r="M26" s="38" t="n">
        <x:f>ABS(K26-L26)</x:f>
        <x:v>45</x:v>
      </x:c>
    </x:row>
    <x:row r="27">
      <x:c r="A27" t="n">
        <x:v>26</x:v>
      </x:c>
      <x:c r="B27" t="n">
        <x:v>16</x:v>
      </x:c>
      <x:c r="C27" t="inlineStr">
        <x:is>
          <x:t xml:space="preserve">Sr2LiSiO4F</x:t>
        </x:is>
      </x:c>
      <x:c r="D27" t="n">
        <x:v>4</x:v>
      </x:c>
      <x:c r="E27" t="n">
        <x:v>283</x:v>
      </x:c>
      <x:c r="F27" t="inlineStr">
        <x:is>
          <x:t xml:space="preserve">RbLi7(SiO4)2</x:t>
        </x:is>
      </x:c>
      <x:c r="G27" t="n">
        <x:v>4</x:v>
      </x:c>
      <x:c r="H27" t="b">
        <x:v>1</x:v>
      </x:c>
      <x:c r="I27" t="n">
        <x:v>1.4220042305121</x:v>
      </x:c>
      <x:c r="J27" t="n">
        <x:v>0.5136228562207932</x:v>
      </x:c>
      <x:c r="K27" s="37" t="n">
        <x:f>VLOOKUP(C27,FWHM_Reference!$A$2:$B$16,2,FALSE)</x:f>
        <x:v>100</x:v>
      </x:c>
      <x:c r="L27" s="32" t="n">
        <x:f>VLOOKUP(F27,FWHM_Reference!$A$2:$B$16,2,FALSE)</x:f>
        <x:v>42</x:v>
      </x:c>
      <x:c r="M27" s="38" t="n">
        <x:f>ABS(K27-L27)</x:f>
        <x:v>58</x:v>
      </x:c>
    </x:row>
    <x:row r="28">
      <x:c r="A28" t="n">
        <x:v>27</x:v>
      </x:c>
      <x:c r="B28" t="n">
        <x:v>15</x:v>
      </x:c>
      <x:c r="C28" t="inlineStr">
        <x:is>
          <x:t xml:space="preserve">Rb2ZrSi2O7</x:t>
        </x:is>
      </x:c>
      <x:c r="D28" t="n">
        <x:v>4</x:v>
      </x:c>
      <x:c r="E28" t="n">
        <x:v>95</x:v>
      </x:c>
      <x:c r="F28" t="inlineStr">
        <x:is>
          <x:t xml:space="preserve">Na3YSi2O7</x:t>
        </x:is>
      </x:c>
      <x:c r="G28" t="n">
        <x:v>4</x:v>
      </x:c>
      <x:c r="H28" t="b">
        <x:v>1</x:v>
      </x:c>
      <x:c r="I28" t="n">
        <x:v>1.42478326673584</x:v>
      </x:c>
      <x:c r="J28" t="n">
        <x:v>0.5146266341928634</x:v>
      </x:c>
      <x:c r="K28" s="37" t="n">
        <x:f>VLOOKUP(C28,FWHM_Reference!$A$2:$B$16,2,FALSE)</x:f>
        <x:v>91</x:v>
      </x:c>
      <x:c r="L28" s="32" t="n">
        <x:f>VLOOKUP(F28,FWHM_Reference!$A$2:$B$16,2,FALSE)</x:f>
        <x:v>105</x:v>
      </x:c>
      <x:c r="M28" s="38" t="n">
        <x:f>ABS(K28-L28)</x:f>
        <x:v>14</x:v>
      </x:c>
    </x:row>
    <x:row r="29">
      <x:c r="A29" t="n">
        <x:v>28</x:v>
      </x:c>
      <x:c r="B29" t="n">
        <x:v>144</x:v>
      </x:c>
      <x:c r="C29" t="inlineStr">
        <x:is>
          <x:t xml:space="preserve">Ba2Mg(PO4)2</x:t>
        </x:is>
      </x:c>
      <x:c r="D29" t="n">
        <x:v>2</x:v>
      </x:c>
      <x:c r="E29" t="n">
        <x:v>180</x:v>
      </x:c>
      <x:c r="F29" t="inlineStr">
        <x:is>
          <x:t xml:space="preserve">Ba6Y2Al4O15</x:t>
        </x:is>
      </x:c>
      <x:c r="G29" t="n">
        <x:v>2</x:v>
      </x:c>
      <x:c r="H29" t="b">
        <x:v>1</x:v>
      </x:c>
      <x:c r="I29" t="n">
        <x:v>1.436520670737345</x:v>
      </x:c>
      <x:c r="J29" t="n">
        <x:v>0.5188661426545923</x:v>
      </x:c>
      <x:c r="K29" s="37" t="n">
        <x:f>VLOOKUP(C29,FWHM_Reference!$A$2:$B$16,2,FALSE)</x:f>
        <x:v>120</x:v>
      </x:c>
      <x:c r="L29" s="32" t="n">
        <x:f>VLOOKUP(F29,FWHM_Reference!$A$2:$B$16,2,FALSE)</x:f>
        <x:v>69</x:v>
      </x:c>
      <x:c r="M29" s="38" t="n">
        <x:f>ABS(K29-L29)</x:f>
        <x:v>51</x:v>
      </x:c>
    </x:row>
    <x:row r="30">
      <x:c r="A30" t="n">
        <x:v>29</x:v>
      </x:c>
      <x:c r="B30" t="n">
        <x:v>16</x:v>
      </x:c>
      <x:c r="C30" t="inlineStr">
        <x:is>
          <x:t xml:space="preserve">Sr2LiSiO4F</x:t>
        </x:is>
      </x:c>
      <x:c r="D30" t="n">
        <x:v>4</x:v>
      </x:c>
      <x:c r="E30" t="n">
        <x:v>171</x:v>
      </x:c>
      <x:c r="F30" t="inlineStr">
        <x:is>
          <x:t xml:space="preserve">BaLi2SiO4</x:t>
        </x:is>
      </x:c>
      <x:c r="G30" t="n">
        <x:v>4</x:v>
      </x:c>
      <x:c r="H30" t="b">
        <x:v>1</x:v>
      </x:c>
      <x:c r="I30" t="n">
        <x:v>1.465002154365087</x:v>
      </x:c>
      <x:c r="J30" t="n">
        <x:v>0.5291535529564718</x:v>
      </x:c>
      <x:c r="K30" s="37" t="n">
        <x:f>VLOOKUP(C30,FWHM_Reference!$A$2:$B$16,2,FALSE)</x:f>
        <x:v>100</x:v>
      </x:c>
      <x:c r="L30" s="32" t="n">
        <x:f>VLOOKUP(F30,FWHM_Reference!$A$2:$B$16,2,FALSE)</x:f>
        <x:v>61</x:v>
      </x:c>
      <x:c r="M30" s="38" t="n">
        <x:f>ABS(K30-L30)</x:f>
        <x:v>39</x:v>
      </x:c>
    </x:row>
    <x:row r="31">
      <x:c r="A31" t="n">
        <x:v>30</x:v>
      </x:c>
      <x:c r="B31" t="n">
        <x:v>15</x:v>
      </x:c>
      <x:c r="C31" t="inlineStr">
        <x:is>
          <x:t xml:space="preserve">Rb2ZrSi2O7</x:t>
        </x:is>
      </x:c>
      <x:c r="D31" t="n">
        <x:v>4</x:v>
      </x:c>
      <x:c r="E31" t="n">
        <x:v>283</x:v>
      </x:c>
      <x:c r="F31" t="inlineStr">
        <x:is>
          <x:t xml:space="preserve">RbLi7(SiO4)2</x:t>
        </x:is>
      </x:c>
      <x:c r="G31" t="n">
        <x:v>4</x:v>
      </x:c>
      <x:c r="H31" t="b">
        <x:v>1</x:v>
      </x:c>
      <x:c r="I31" t="n">
        <x:v>1.494344540936513</x:v>
      </x:c>
      <x:c r="J31" t="n">
        <x:v>0.5397519183310411</x:v>
      </x:c>
      <x:c r="K31" s="37" t="n">
        <x:f>VLOOKUP(C31,FWHM_Reference!$A$2:$B$16,2,FALSE)</x:f>
        <x:v>91</x:v>
      </x:c>
      <x:c r="L31" s="32" t="n">
        <x:f>VLOOKUP(F31,FWHM_Reference!$A$2:$B$16,2,FALSE)</x:f>
        <x:v>42</x:v>
      </x:c>
      <x:c r="M31" s="38" t="n">
        <x:f>ABS(K31-L31)</x:f>
        <x:v>49</x:v>
      </x:c>
    </x:row>
    <x:row r="32">
      <x:c r="A32" t="n">
        <x:v>31</x:v>
      </x:c>
      <x:c r="B32" t="n">
        <x:v>15</x:v>
      </x:c>
      <x:c r="C32" t="inlineStr">
        <x:is>
          <x:t xml:space="preserve">Rb2ZrSi2O7</x:t>
        </x:is>
      </x:c>
      <x:c r="D32" t="n">
        <x:v>4</x:v>
      </x:c>
      <x:c r="E32" t="n">
        <x:v>17</x:v>
      </x:c>
      <x:c r="F32" t="inlineStr">
        <x:is>
          <x:t xml:space="preserve">SrAl2O4</x:t>
        </x:is>
      </x:c>
      <x:c r="G32" t="n">
        <x:v>2</x:v>
      </x:c>
      <x:c r="H32" t="b">
        <x:v>0</x:v>
      </x:c>
      <x:c r="I32" t="n">
        <x:v>1.500430353683339</x:v>
      </x:c>
      <x:c r="J32" t="n">
        <x:v>0.5419500921890219</x:v>
      </x:c>
      <x:c r="K32" s="37" t="n">
        <x:f>VLOOKUP(C32,FWHM_Reference!$A$2:$B$16,2,FALSE)</x:f>
        <x:v>91</x:v>
      </x:c>
      <x:c r="L32" s="32" t="n">
        <x:f>VLOOKUP(F32,FWHM_Reference!$A$2:$B$16,2,FALSE)</x:f>
        <x:v>77</x:v>
      </x:c>
      <x:c r="M32" s="38" t="n">
        <x:f>ABS(K32-L32)</x:f>
        <x:v>14</x:v>
      </x:c>
    </x:row>
    <x:row r="33">
      <x:c r="A33" t="n">
        <x:v>32</x:v>
      </x:c>
      <x:c r="B33" t="n">
        <x:v>15</x:v>
      </x:c>
      <x:c r="C33" t="inlineStr">
        <x:is>
          <x:t xml:space="preserve">Rb2ZrSi2O7</x:t>
        </x:is>
      </x:c>
      <x:c r="D33" t="n">
        <x:v>4</x:v>
      </x:c>
      <x:c r="E33" t="n">
        <x:v>111</x:v>
      </x:c>
      <x:c r="F33" t="inlineStr">
        <x:is>
          <x:t xml:space="preserve">Ba2MgSi2O7</x:t>
        </x:is>
      </x:c>
      <x:c r="G33" t="n">
        <x:v>2</x:v>
      </x:c>
      <x:c r="H33" t="b">
        <x:v>0</x:v>
      </x:c>
      <x:c r="I33" t="n">
        <x:v>1.569204464572638</x:v>
      </x:c>
      <x:c r="J33" t="n">
        <x:v>0.5667910557466945</x:v>
      </x:c>
      <x:c r="K33" s="37" t="n">
        <x:f>VLOOKUP(C33,FWHM_Reference!$A$2:$B$16,2,FALSE)</x:f>
        <x:v>91</x:v>
      </x:c>
      <x:c r="L33" s="32" t="n">
        <x:f>VLOOKUP(F33,FWHM_Reference!$A$2:$B$16,2,FALSE)</x:f>
        <x:v>75</x:v>
      </x:c>
      <x:c r="M33" s="38" t="n">
        <x:f>ABS(K33-L33)</x:f>
        <x:v>16</x:v>
      </x:c>
    </x:row>
    <x:row r="34">
      <x:c r="A34" t="n">
        <x:v>33</x:v>
      </x:c>
      <x:c r="B34" t="n">
        <x:v>199</x:v>
      </x:c>
      <x:c r="C34" t="inlineStr">
        <x:is>
          <x:t xml:space="preserve">Cs2BaP2O7</x:t>
        </x:is>
      </x:c>
      <x:c r="D34" t="n">
        <x:v>4</x:v>
      </x:c>
      <x:c r="E34" t="n">
        <x:v>261</x:v>
      </x:c>
      <x:c r="F34" t="inlineStr">
        <x:is>
          <x:t xml:space="preserve">NaCaPO4</x:t>
        </x:is>
      </x:c>
      <x:c r="G34" t="n">
        <x:v>4</x:v>
      </x:c>
      <x:c r="H34" t="b">
        <x:v>1</x:v>
      </x:c>
      <x:c r="I34" t="n">
        <x:v>1.588462950038068</x:v>
      </x:c>
      <x:c r="J34" t="n">
        <x:v>0.5737471520078696</x:v>
      </x:c>
      <x:c r="K34" s="37" t="n">
        <x:f>VLOOKUP(C34,FWHM_Reference!$A$2:$B$16,2,FALSE)</x:f>
        <x:v>100</x:v>
      </x:c>
      <x:c r="L34" s="32" t="n">
        <x:f>VLOOKUP(F34,FWHM_Reference!$A$2:$B$16,2,FALSE)</x:f>
        <x:v>65</x:v>
      </x:c>
      <x:c r="M34" s="38" t="n">
        <x:f>ABS(K34-L34)</x:f>
        <x:v>35</x:v>
      </x:c>
    </x:row>
    <x:row r="35">
      <x:c r="A35" t="n">
        <x:v>34</x:v>
      </x:c>
      <x:c r="B35" t="n">
        <x:v>14</x:v>
      </x:c>
      <x:c r="C35" t="inlineStr">
        <x:is>
          <x:t xml:space="preserve">K2RbNaLi12(SiO4)4</x:t>
        </x:is>
      </x:c>
      <x:c r="D35" t="n">
        <x:v>4</x:v>
      </x:c>
      <x:c r="E35" t="n">
        <x:v>261</x:v>
      </x:c>
      <x:c r="F35" t="inlineStr">
        <x:is>
          <x:t xml:space="preserve">NaCaPO4</x:t>
        </x:is>
      </x:c>
      <x:c r="G35" t="n">
        <x:v>4</x:v>
      </x:c>
      <x:c r="H35" t="b">
        <x:v>1</x:v>
      </x:c>
      <x:c r="I35" t="n">
        <x:v>1.591339905770051</x:v>
      </x:c>
      <x:c r="J35" t="n">
        <x:v>0.5747862981570692</x:v>
      </x:c>
      <x:c r="K35" s="37" t="n">
        <x:f>VLOOKUP(C35,FWHM_Reference!$A$2:$B$16,2,FALSE)</x:f>
        <x:v>51</x:v>
      </x:c>
      <x:c r="L35" s="32" t="n">
        <x:f>VLOOKUP(F35,FWHM_Reference!$A$2:$B$16,2,FALSE)</x:f>
        <x:v>65</x:v>
      </x:c>
      <x:c r="M35" s="38" t="n">
        <x:f>ABS(K35-L35)</x:f>
        <x:v>14</x:v>
      </x:c>
    </x:row>
    <x:row r="36">
      <x:c r="A36" t="n">
        <x:v>35</x:v>
      </x:c>
      <x:c r="B36" t="n">
        <x:v>15</x:v>
      </x:c>
      <x:c r="C36" t="inlineStr">
        <x:is>
          <x:t xml:space="preserve">Rb2ZrSi2O7</x:t>
        </x:is>
      </x:c>
      <x:c r="D36" t="n">
        <x:v>4</x:v>
      </x:c>
      <x:c r="E36" t="n">
        <x:v>180</x:v>
      </x:c>
      <x:c r="F36" t="inlineStr">
        <x:is>
          <x:t xml:space="preserve">Ba6Y2Al4O15</x:t>
        </x:is>
      </x:c>
      <x:c r="G36" t="n">
        <x:v>2</x:v>
      </x:c>
      <x:c r="H36" t="b">
        <x:v>0</x:v>
      </x:c>
      <x:c r="I36" t="n">
        <x:v>1.63512615243677</x:v>
      </x:c>
      <x:c r="J36" t="n">
        <x:v>0.590601734281369</x:v>
      </x:c>
      <x:c r="K36" s="37" t="n">
        <x:f>VLOOKUP(C36,FWHM_Reference!$A$2:$B$16,2,FALSE)</x:f>
        <x:v>91</x:v>
      </x:c>
      <x:c r="L36" s="32" t="n">
        <x:f>VLOOKUP(F36,FWHM_Reference!$A$2:$B$16,2,FALSE)</x:f>
        <x:v>69</x:v>
      </x:c>
      <x:c r="M36" s="38" t="n">
        <x:f>ABS(K36-L36)</x:f>
        <x:v>22</x:v>
      </x:c>
    </x:row>
    <x:row r="37">
      <x:c r="A37" t="n">
        <x:v>36</x:v>
      </x:c>
      <x:c r="B37" t="n">
        <x:v>16</x:v>
      </x:c>
      <x:c r="C37" t="inlineStr">
        <x:is>
          <x:t xml:space="preserve">Sr2LiSiO4F</x:t>
        </x:is>
      </x:c>
      <x:c r="D37" t="n">
        <x:v>4</x:v>
      </x:c>
      <x:c r="E37" t="n">
        <x:v>142</x:v>
      </x:c>
      <x:c r="F37" t="inlineStr">
        <x:is>
          <x:t xml:space="preserve">Ba2Ca(BO3)2</x:t>
        </x:is>
      </x:c>
      <x:c r="G37" t="n">
        <x:v>2</x:v>
      </x:c>
      <x:c r="H37" t="b">
        <x:v>0</x:v>
      </x:c>
      <x:c r="I37" t="n">
        <x:v>1.640783715667864</x:v>
      </x:c>
      <x:c r="J37" t="n">
        <x:v>0.5926452259416981</x:v>
      </x:c>
      <x:c r="K37" s="37" t="n">
        <x:f>VLOOKUP(C37,FWHM_Reference!$A$2:$B$16,2,FALSE)</x:f>
        <x:v>100</x:v>
      </x:c>
      <x:c r="L37" s="32" t="n">
        <x:f>VLOOKUP(F37,FWHM_Reference!$A$2:$B$16,2,FALSE)</x:f>
        <x:v>75</x:v>
      </x:c>
      <x:c r="M37" s="38" t="n">
        <x:f>ABS(K37-L37)</x:f>
        <x:v>25</x:v>
      </x:c>
    </x:row>
    <x:row r="38">
      <x:c r="A38" t="n">
        <x:v>37</x:v>
      </x:c>
      <x:c r="B38" t="n">
        <x:v>14</x:v>
      </x:c>
      <x:c r="C38" t="inlineStr">
        <x:is>
          <x:t xml:space="preserve">K2RbNaLi12(SiO4)4</x:t>
        </x:is>
      </x:c>
      <x:c r="D38" t="n">
        <x:v>4</x:v>
      </x:c>
      <x:c r="E38" t="n">
        <x:v>15</x:v>
      </x:c>
      <x:c r="F38" t="inlineStr">
        <x:is>
          <x:t xml:space="preserve">Rb2ZrSi2O7</x:t>
        </x:is>
      </x:c>
      <x:c r="G38" t="n">
        <x:v>4</x:v>
      </x:c>
      <x:c r="H38" t="b">
        <x:v>1</x:v>
      </x:c>
      <x:c r="I38" t="n">
        <x:v>1.649092844241671</x:v>
      </x:c>
      <x:c r="J38" t="n">
        <x:v>0.595646453546519</x:v>
      </x:c>
      <x:c r="K38" s="37" t="n">
        <x:f>VLOOKUP(C38,FWHM_Reference!$A$2:$B$16,2,FALSE)</x:f>
        <x:v>51</x:v>
      </x:c>
      <x:c r="L38" s="32" t="n">
        <x:f>VLOOKUP(F38,FWHM_Reference!$A$2:$B$16,2,FALSE)</x:f>
        <x:v>91</x:v>
      </x:c>
      <x:c r="M38" s="38" t="n">
        <x:f>ABS(K38-L38)</x:f>
        <x:v>40</x:v>
      </x:c>
    </x:row>
    <x:row r="39">
      <x:c r="A39" t="n">
        <x:v>38</x:v>
      </x:c>
      <x:c r="B39" t="n">
        <x:v>15</x:v>
      </x:c>
      <x:c r="C39" t="inlineStr">
        <x:is>
          <x:t xml:space="preserve">Rb2ZrSi2O7</x:t>
        </x:is>
      </x:c>
      <x:c r="D39" t="n">
        <x:v>4</x:v>
      </x:c>
      <x:c r="E39" t="n">
        <x:v>142</x:v>
      </x:c>
      <x:c r="F39" t="inlineStr">
        <x:is>
          <x:t xml:space="preserve">Ba2Ca(BO3)2</x:t>
        </x:is>
      </x:c>
      <x:c r="G39" t="n">
        <x:v>2</x:v>
      </x:c>
      <x:c r="H39" t="b">
        <x:v>0</x:v>
      </x:c>
      <x:c r="I39" t="n">
        <x:v>1.656355929117638</x:v>
      </x:c>
      <x:c r="J39" t="n">
        <x:v>0.5982698538985873</x:v>
      </x:c>
      <x:c r="K39" s="37" t="n">
        <x:f>VLOOKUP(C39,FWHM_Reference!$A$2:$B$16,2,FALSE)</x:f>
        <x:v>91</x:v>
      </x:c>
      <x:c r="L39" s="32" t="n">
        <x:f>VLOOKUP(F39,FWHM_Reference!$A$2:$B$16,2,FALSE)</x:f>
        <x:v>75</x:v>
      </x:c>
      <x:c r="M39" s="38" t="n">
        <x:f>ABS(K39-L39)</x:f>
        <x:v>16</x:v>
      </x:c>
    </x:row>
    <x:row r="40">
      <x:c r="A40" t="n">
        <x:v>39</x:v>
      </x:c>
      <x:c r="B40" t="n">
        <x:v>261</x:v>
      </x:c>
      <x:c r="C40" t="inlineStr">
        <x:is>
          <x:t xml:space="preserve">NaCaPO4</x:t>
        </x:is>
      </x:c>
      <x:c r="D40" t="n">
        <x:v>4</x:v>
      </x:c>
      <x:c r="E40" t="n">
        <x:v>283</x:v>
      </x:c>
      <x:c r="F40" t="inlineStr">
        <x:is>
          <x:t xml:space="preserve">RbLi7(SiO4)2</x:t>
        </x:is>
      </x:c>
      <x:c r="G40" t="n">
        <x:v>4</x:v>
      </x:c>
      <x:c r="H40" t="b">
        <x:v>1</x:v>
      </x:c>
      <x:c r="I40" t="n">
        <x:v>1.664227677731607</x:v>
      </x:c>
      <x:c r="J40" t="n">
        <x:v>0.6011131014219105</x:v>
      </x:c>
      <x:c r="K40" s="37" t="n">
        <x:f>VLOOKUP(C40,FWHM_Reference!$A$2:$B$16,2,FALSE)</x:f>
        <x:v>65</x:v>
      </x:c>
      <x:c r="L40" s="32" t="n">
        <x:f>VLOOKUP(F40,FWHM_Reference!$A$2:$B$16,2,FALSE)</x:f>
        <x:v>42</x:v>
      </x:c>
      <x:c r="M40" s="38" t="n">
        <x:f>ABS(K40-L40)</x:f>
        <x:v>23</x:v>
      </x:c>
    </x:row>
    <x:row r="41">
      <x:c r="A41" t="n">
        <x:v>40</x:v>
      </x:c>
      <x:c r="B41" t="n">
        <x:v>171</x:v>
      </x:c>
      <x:c r="C41" t="inlineStr">
        <x:is>
          <x:t xml:space="preserve">BaLi2SiO4</x:t>
        </x:is>
      </x:c>
      <x:c r="D41" t="n">
        <x:v>4</x:v>
      </x:c>
      <x:c r="E41" t="n">
        <x:v>261</x:v>
      </x:c>
      <x:c r="F41" t="inlineStr">
        <x:is>
          <x:t xml:space="preserve">NaCaPO4</x:t>
        </x:is>
      </x:c>
      <x:c r="G41" t="n">
        <x:v>4</x:v>
      </x:c>
      <x:c r="H41" t="b">
        <x:v>1</x:v>
      </x:c>
      <x:c r="I41" t="n">
        <x:v>1.688336800332594</x:v>
      </x:c>
      <x:c r="J41" t="n">
        <x:v>0.6098212305157579</x:v>
      </x:c>
      <x:c r="K41" s="37" t="n">
        <x:f>VLOOKUP(C41,FWHM_Reference!$A$2:$B$16,2,FALSE)</x:f>
        <x:v>61</x:v>
      </x:c>
      <x:c r="L41" s="32" t="n">
        <x:f>VLOOKUP(F41,FWHM_Reference!$A$2:$B$16,2,FALSE)</x:f>
        <x:v>65</x:v>
      </x:c>
      <x:c r="M41" s="38" t="n">
        <x:f>ABS(K41-L41)</x:f>
        <x:v>4</x:v>
      </x:c>
    </x:row>
    <x:row r="42">
      <x:c r="A42" t="n">
        <x:v>41</x:v>
      </x:c>
      <x:c r="B42" t="n">
        <x:v>15</x:v>
      </x:c>
      <x:c r="C42" t="inlineStr">
        <x:is>
          <x:t xml:space="preserve">Rb2ZrSi2O7</x:t>
        </x:is>
      </x:c>
      <x:c r="D42" t="n">
        <x:v>4</x:v>
      </x:c>
      <x:c r="E42" t="n">
        <x:v>171</x:v>
      </x:c>
      <x:c r="F42" t="inlineStr">
        <x:is>
          <x:t xml:space="preserve">BaLi2SiO4</x:t>
        </x:is>
      </x:c>
      <x:c r="G42" t="n">
        <x:v>4</x:v>
      </x:c>
      <x:c r="H42" t="b">
        <x:v>1</x:v>
      </x:c>
      <x:c r="I42" t="n">
        <x:v>1.708692615954373</x:v>
      </x:c>
      <x:c r="J42" t="n">
        <x:v>0.617173678515576</x:v>
      </x:c>
      <x:c r="K42" s="37" t="n">
        <x:f>VLOOKUP(C42,FWHM_Reference!$A$2:$B$16,2,FALSE)</x:f>
        <x:v>91</x:v>
      </x:c>
      <x:c r="L42" s="32" t="n">
        <x:f>VLOOKUP(F42,FWHM_Reference!$A$2:$B$16,2,FALSE)</x:f>
        <x:v>61</x:v>
      </x:c>
      <x:c r="M42" s="38" t="n">
        <x:f>ABS(K42-L42)</x:f>
        <x:v>30</x:v>
      </x:c>
    </x:row>
    <x:row r="43">
      <x:c r="A43" t="n">
        <x:v>42</x:v>
      </x:c>
      <x:c r="B43" t="n">
        <x:v>17</x:v>
      </x:c>
      <x:c r="C43" t="inlineStr">
        <x:is>
          <x:t xml:space="preserve">SrAl2O4</x:t>
        </x:is>
      </x:c>
      <x:c r="D43" t="n">
        <x:v>2</x:v>
      </x:c>
      <x:c r="E43" t="n">
        <x:v>261</x:v>
      </x:c>
      <x:c r="F43" t="inlineStr">
        <x:is>
          <x:t xml:space="preserve">NaCaPO4</x:t>
        </x:is>
      </x:c>
      <x:c r="G43" t="n">
        <x:v>4</x:v>
      </x:c>
      <x:c r="H43" t="b">
        <x:v>0</x:v>
      </x:c>
      <x:c r="I43" t="n">
        <x:v>1.715992581286376</x:v>
      </x:c>
      <x:c r="J43" t="n">
        <x:v>0.6198103999568239</x:v>
      </x:c>
      <x:c r="K43" s="37" t="n">
        <x:f>VLOOKUP(C43,FWHM_Reference!$A$2:$B$16,2,FALSE)</x:f>
        <x:v>77</x:v>
      </x:c>
      <x:c r="L43" s="32" t="n">
        <x:f>VLOOKUP(F43,FWHM_Reference!$A$2:$B$16,2,FALSE)</x:f>
        <x:v>65</x:v>
      </x:c>
      <x:c r="M43" s="38" t="n">
        <x:f>ABS(K43-L43)</x:f>
        <x:v>12</x:v>
      </x:c>
    </x:row>
    <x:row r="44">
      <x:c r="A44" t="n">
        <x:v>43</x:v>
      </x:c>
      <x:c r="B44" t="n">
        <x:v>16</x:v>
      </x:c>
      <x:c r="C44" t="inlineStr">
        <x:is>
          <x:t xml:space="preserve">Sr2LiSiO4F</x:t>
        </x:is>
      </x:c>
      <x:c r="D44" t="n">
        <x:v>4</x:v>
      </x:c>
      <x:c r="E44" t="n">
        <x:v>199</x:v>
      </x:c>
      <x:c r="F44" t="inlineStr">
        <x:is>
          <x:t xml:space="preserve">Cs2BaP2O7</x:t>
        </x:is>
      </x:c>
      <x:c r="G44" t="n">
        <x:v>4</x:v>
      </x:c>
      <x:c r="H44" t="b">
        <x:v>1</x:v>
      </x:c>
      <x:c r="I44" t="n">
        <x:v>1.718269914065607</x:v>
      </x:c>
      <x:c r="J44" t="n">
        <x:v>0.6206329644341548</x:v>
      </x:c>
      <x:c r="K44" s="37" t="n">
        <x:f>VLOOKUP(C44,FWHM_Reference!$A$2:$B$16,2,FALSE)</x:f>
        <x:v>100</x:v>
      </x:c>
      <x:c r="L44" s="32" t="n">
        <x:f>VLOOKUP(F44,FWHM_Reference!$A$2:$B$16,2,FALSE)</x:f>
        <x:v>100</x:v>
      </x:c>
      <x:c r="M44" s="38" t="n">
        <x:f>ABS(K44-L44)</x:f>
        <x:v>0</x:v>
      </x:c>
    </x:row>
    <x:row r="45">
      <x:c r="A45" t="n">
        <x:v>44</x:v>
      </x:c>
      <x:c r="B45" t="n">
        <x:v>144</x:v>
      </x:c>
      <x:c r="C45" t="inlineStr">
        <x:is>
          <x:t xml:space="preserve">Ba2Mg(PO4)2</x:t>
        </x:is>
      </x:c>
      <x:c r="D45" t="n">
        <x:v>2</x:v>
      </x:c>
      <x:c r="E45" t="n">
        <x:v>199</x:v>
      </x:c>
      <x:c r="F45" t="inlineStr">
        <x:is>
          <x:t xml:space="preserve">Cs2BaP2O7</x:t>
        </x:is>
      </x:c>
      <x:c r="G45" t="n">
        <x:v>4</x:v>
      </x:c>
      <x:c r="H45" t="b">
        <x:v>0</x:v>
      </x:c>
      <x:c r="I45" t="n">
        <x:v>1.724453022600004</x:v>
      </x:c>
      <x:c r="J45" t="n">
        <x:v>0.622866281183583</x:v>
      </x:c>
      <x:c r="K45" s="37" t="n">
        <x:f>VLOOKUP(C45,FWHM_Reference!$A$2:$B$16,2,FALSE)</x:f>
        <x:v>120</x:v>
      </x:c>
      <x:c r="L45" s="32" t="n">
        <x:f>VLOOKUP(F45,FWHM_Reference!$A$2:$B$16,2,FALSE)</x:f>
        <x:v>100</x:v>
      </x:c>
      <x:c r="M45" s="38" t="n">
        <x:f>ABS(K45-L45)</x:f>
        <x:v>20</x:v>
      </x:c>
    </x:row>
    <x:row r="46">
      <x:c r="A46" t="n">
        <x:v>45</x:v>
      </x:c>
      <x:c r="B46" t="n">
        <x:v>16</x:v>
      </x:c>
      <x:c r="C46" t="inlineStr">
        <x:is>
          <x:t xml:space="preserve">Sr2LiSiO4F</x:t>
        </x:is>
      </x:c>
      <x:c r="D46" t="n">
        <x:v>4</x:v>
      </x:c>
      <x:c r="E46" t="n">
        <x:v>17</x:v>
      </x:c>
      <x:c r="F46" t="inlineStr">
        <x:is>
          <x:t xml:space="preserve">SrAl2O4</x:t>
        </x:is>
      </x:c>
      <x:c r="G46" t="n">
        <x:v>2</x:v>
      </x:c>
      <x:c r="H46" t="b">
        <x:v>0</x:v>
      </x:c>
      <x:c r="I46" t="n">
        <x:v>1.740291841226694</x:v>
      </x:c>
      <x:c r="J46" t="n">
        <x:v>0.6285872059794774</x:v>
      </x:c>
      <x:c r="K46" s="37" t="n">
        <x:f>VLOOKUP(C46,FWHM_Reference!$A$2:$B$16,2,FALSE)</x:f>
        <x:v>100</x:v>
      </x:c>
      <x:c r="L46" s="32" t="n">
        <x:f>VLOOKUP(F46,FWHM_Reference!$A$2:$B$16,2,FALSE)</x:f>
        <x:v>77</x:v>
      </x:c>
      <x:c r="M46" s="38" t="n">
        <x:f>ABS(K46-L46)</x:f>
        <x:v>23</x:v>
      </x:c>
    </x:row>
    <x:row r="47">
      <x:c r="A47" t="n">
        <x:v>46</x:v>
      </x:c>
      <x:c r="B47" t="n">
        <x:v>95</x:v>
      </x:c>
      <x:c r="C47" t="inlineStr">
        <x:is>
          <x:t xml:space="preserve">Na3YSi2O7</x:t>
        </x:is>
      </x:c>
      <x:c r="D47" t="n">
        <x:v>4</x:v>
      </x:c>
      <x:c r="E47" t="n">
        <x:v>283</x:v>
      </x:c>
      <x:c r="F47" t="inlineStr">
        <x:is>
          <x:t xml:space="preserve">RbLi7(SiO4)2</x:t>
        </x:is>
      </x:c>
      <x:c r="G47" t="n">
        <x:v>4</x:v>
      </x:c>
      <x:c r="H47" t="b">
        <x:v>1</x:v>
      </x:c>
      <x:c r="I47" t="n">
        <x:v>1.753069998819739</x:v>
      </x:c>
      <x:c r="J47" t="n">
        <x:v>0.6332026309264314</x:v>
      </x:c>
      <x:c r="K47" s="37" t="n">
        <x:f>VLOOKUP(C47,FWHM_Reference!$A$2:$B$16,2,FALSE)</x:f>
        <x:v>105</x:v>
      </x:c>
      <x:c r="L47" s="32" t="n">
        <x:f>VLOOKUP(F47,FWHM_Reference!$A$2:$B$16,2,FALSE)</x:f>
        <x:v>42</x:v>
      </x:c>
      <x:c r="M47" s="38" t="n">
        <x:f>ABS(K47-L47)</x:f>
        <x:v>63</x:v>
      </x:c>
    </x:row>
    <x:row r="48">
      <x:c r="A48" t="n">
        <x:v>47</x:v>
      </x:c>
      <x:c r="B48" t="n">
        <x:v>16</x:v>
      </x:c>
      <x:c r="C48" t="inlineStr">
        <x:is>
          <x:t xml:space="preserve">Sr2LiSiO4F</x:t>
        </x:is>
      </x:c>
      <x:c r="D48" t="n">
        <x:v>4</x:v>
      </x:c>
      <x:c r="E48" t="n">
        <x:v>95</x:v>
      </x:c>
      <x:c r="F48" t="inlineStr">
        <x:is>
          <x:t xml:space="preserve">Na3YSi2O7</x:t>
        </x:is>
      </x:c>
      <x:c r="G48" t="n">
        <x:v>4</x:v>
      </x:c>
      <x:c r="H48" t="b">
        <x:v>1</x:v>
      </x:c>
      <x:c r="I48" t="n">
        <x:v>1.753941028336218</x:v>
      </x:c>
      <x:c r="J48" t="n">
        <x:v>0.6335172436810963</x:v>
      </x:c>
      <x:c r="K48" s="37" t="n">
        <x:f>VLOOKUP(C48,FWHM_Reference!$A$2:$B$16,2,FALSE)</x:f>
        <x:v>100</x:v>
      </x:c>
      <x:c r="L48" s="32" t="n">
        <x:f>VLOOKUP(F48,FWHM_Reference!$A$2:$B$16,2,FALSE)</x:f>
        <x:v>105</x:v>
      </x:c>
      <x:c r="M48" s="38" t="n">
        <x:f>ABS(K48-L48)</x:f>
        <x:v>5</x:v>
      </x:c>
    </x:row>
    <x:row r="49">
      <x:c r="A49" t="n">
        <x:v>48</x:v>
      </x:c>
      <x:c r="B49" t="n">
        <x:v>16</x:v>
      </x:c>
      <x:c r="C49" t="inlineStr">
        <x:is>
          <x:t xml:space="preserve">Sr2LiSiO4F</x:t>
        </x:is>
      </x:c>
      <x:c r="D49" t="n">
        <x:v>4</x:v>
      </x:c>
      <x:c r="E49" t="n">
        <x:v>111</x:v>
      </x:c>
      <x:c r="F49" t="inlineStr">
        <x:is>
          <x:t xml:space="preserve">Ba2MgSi2O7</x:t>
        </x:is>
      </x:c>
      <x:c r="G49" t="n">
        <x:v>2</x:v>
      </x:c>
      <x:c r="H49" t="b">
        <x:v>0</x:v>
      </x:c>
      <x:c r="I49" t="n">
        <x:v>1.754618338445151</x:v>
      </x:c>
      <x:c r="J49" t="n">
        <x:v>0.6337618856766913</x:v>
      </x:c>
      <x:c r="K49" s="37" t="n">
        <x:f>VLOOKUP(C49,FWHM_Reference!$A$2:$B$16,2,FALSE)</x:f>
        <x:v>100</x:v>
      </x:c>
      <x:c r="L49" s="32" t="n">
        <x:f>VLOOKUP(F49,FWHM_Reference!$A$2:$B$16,2,FALSE)</x:f>
        <x:v>75</x:v>
      </x:c>
      <x:c r="M49" s="38" t="n">
        <x:f>ABS(K49-L49)</x:f>
        <x:v>25</x:v>
      </x:c>
    </x:row>
    <x:row r="50">
      <x:c r="A50" t="n">
        <x:v>49</x:v>
      </x:c>
      <x:c r="B50" t="n">
        <x:v>144</x:v>
      </x:c>
      <x:c r="C50" t="inlineStr">
        <x:is>
          <x:t xml:space="preserve">Ba2Mg(PO4)2</x:t>
        </x:is>
      </x:c>
      <x:c r="D50" t="n">
        <x:v>2</x:v>
      </x:c>
      <x:c r="E50" t="n">
        <x:v>261</x:v>
      </x:c>
      <x:c r="F50" t="inlineStr">
        <x:is>
          <x:t xml:space="preserve">NaCaPO4</x:t>
        </x:is>
      </x:c>
      <x:c r="G50" t="n">
        <x:v>4</x:v>
      </x:c>
      <x:c r="H50" t="b">
        <x:v>0</x:v>
      </x:c>
      <x:c r="I50" t="n">
        <x:v>1.807189523315915</x:v>
      </x:c>
      <x:c r="J50" t="n">
        <x:v>0.6527504101471912</x:v>
      </x:c>
      <x:c r="K50" s="37" t="n">
        <x:f>VLOOKUP(C50,FWHM_Reference!$A$2:$B$16,2,FALSE)</x:f>
        <x:v>120</x:v>
      </x:c>
      <x:c r="L50" s="32" t="n">
        <x:f>VLOOKUP(F50,FWHM_Reference!$A$2:$B$16,2,FALSE)</x:f>
        <x:v>65</x:v>
      </x:c>
      <x:c r="M50" s="38" t="n">
        <x:f>ABS(K50-L50)</x:f>
        <x:v>55</x:v>
      </x:c>
    </x:row>
    <x:row r="51">
      <x:c r="A51" t="n">
        <x:v>50</x:v>
      </x:c>
      <x:c r="B51" t="n">
        <x:v>15</x:v>
      </x:c>
      <x:c r="C51" t="inlineStr">
        <x:is>
          <x:t xml:space="preserve">Rb2ZrSi2O7</x:t>
        </x:is>
      </x:c>
      <x:c r="D51" t="n">
        <x:v>4</x:v>
      </x:c>
      <x:c r="E51" t="n">
        <x:v>157</x:v>
      </x:c>
      <x:c r="F51" t="inlineStr">
        <x:is>
          <x:t xml:space="preserve">BaNa(B3O5)3</x:t>
        </x:is>
      </x:c>
      <x:c r="G51" t="n">
        <x:v>2</x:v>
      </x:c>
      <x:c r="H51" t="b">
        <x:v>0</x:v>
      </x:c>
      <x:c r="I51" t="n">
        <x:v>1.814545504828422</x:v>
      </x:c>
      <x:c r="J51" t="n">
        <x:v>0.6554073644330448</x:v>
      </x:c>
      <x:c r="K51" s="37" t="n">
        <x:f>VLOOKUP(C51,FWHM_Reference!$A$2:$B$16,2,FALSE)</x:f>
        <x:v>91</x:v>
      </x:c>
      <x:c r="L51" s="32" t="n">
        <x:f>VLOOKUP(F51,FWHM_Reference!$A$2:$B$16,2,FALSE)</x:f>
        <x:v>61</x:v>
      </x:c>
      <x:c r="M51" s="38" t="n">
        <x:f>ABS(K51-L51)</x:f>
        <x:v>30</x:v>
      </x:c>
    </x:row>
    <x:row r="52">
      <x:c r="A52" t="n">
        <x:v>51</x:v>
      </x:c>
      <x:c r="B52" t="n">
        <x:v>111</x:v>
      </x:c>
      <x:c r="C52" t="inlineStr">
        <x:is>
          <x:t xml:space="preserve">Ba2MgSi2O7</x:t>
        </x:is>
      </x:c>
      <x:c r="D52" t="n">
        <x:v>2</x:v>
      </x:c>
      <x:c r="E52" t="n">
        <x:v>261</x:v>
      </x:c>
      <x:c r="F52" t="inlineStr">
        <x:is>
          <x:t xml:space="preserve">NaCaPO4</x:t>
        </x:is>
      </x:c>
      <x:c r="G52" t="n">
        <x:v>4</x:v>
      </x:c>
      <x:c r="H52" t="b">
        <x:v>0</x:v>
      </x:c>
      <x:c r="I52" t="n">
        <x:v>1.83305394834421</x:v>
      </x:c>
      <x:c r="J52" t="n">
        <x:v>0.6620925482171724</x:v>
      </x:c>
      <x:c r="K52" s="37" t="n">
        <x:f>VLOOKUP(C52,FWHM_Reference!$A$2:$B$16,2,FALSE)</x:f>
        <x:v>75</x:v>
      </x:c>
      <x:c r="L52" s="32" t="n">
        <x:f>VLOOKUP(F52,FWHM_Reference!$A$2:$B$16,2,FALSE)</x:f>
        <x:v>65</x:v>
      </x:c>
      <x:c r="M52" s="38" t="n">
        <x:f>ABS(K52-L52)</x:f>
        <x:v>10</x:v>
      </x:c>
    </x:row>
    <x:row r="53">
      <x:c r="A53" t="n">
        <x:v>52</x:v>
      </x:c>
      <x:c r="B53" t="n">
        <x:v>153</x:v>
      </x:c>
      <x:c r="C53" t="inlineStr">
        <x:is>
          <x:t xml:space="preserve">Ba3Si6(NO6)2</x:t>
        </x:is>
      </x:c>
      <x:c r="D53" t="n">
        <x:v>2</x:v>
      </x:c>
      <x:c r="E53" t="n">
        <x:v>157</x:v>
      </x:c>
      <x:c r="F53" t="inlineStr">
        <x:is>
          <x:t xml:space="preserve">BaNa(B3O5)3</x:t>
        </x:is>
      </x:c>
      <x:c r="G53" t="n">
        <x:v>2</x:v>
      </x:c>
      <x:c r="H53" t="b">
        <x:v>1</x:v>
      </x:c>
      <x:c r="I53" t="n">
        <x:v>1.834497255712968</x:v>
      </x:c>
      <x:c r="J53" t="n">
        <x:v>0.662613865690946</x:v>
      </x:c>
      <x:c r="K53" s="37" t="n">
        <x:f>VLOOKUP(C53,FWHM_Reference!$A$2:$B$16,2,FALSE)</x:f>
        <x:v>68</x:v>
      </x:c>
      <x:c r="L53" s="32" t="n">
        <x:f>VLOOKUP(F53,FWHM_Reference!$A$2:$B$16,2,FALSE)</x:f>
        <x:v>61</x:v>
      </x:c>
      <x:c r="M53" s="38" t="n">
        <x:f>ABS(K53-L53)</x:f>
        <x:v>7</x:v>
      </x:c>
    </x:row>
    <x:row r="54">
      <x:c r="A54" t="n">
        <x:v>53</x:v>
      </x:c>
      <x:c r="B54" t="n">
        <x:v>15</x:v>
      </x:c>
      <x:c r="C54" t="inlineStr">
        <x:is>
          <x:t xml:space="preserve">Rb2ZrSi2O7</x:t>
        </x:is>
      </x:c>
      <x:c r="D54" t="n">
        <x:v>4</x:v>
      </x:c>
      <x:c r="E54" t="n">
        <x:v>144</x:v>
      </x:c>
      <x:c r="F54" t="inlineStr">
        <x:is>
          <x:t xml:space="preserve">Ba2Mg(PO4)2</x:t>
        </x:is>
      </x:c>
      <x:c r="G54" t="n">
        <x:v>2</x:v>
      </x:c>
      <x:c r="H54" t="b">
        <x:v>0</x:v>
      </x:c>
      <x:c r="I54" t="n">
        <x:v>1.837249447213781</x:v>
      </x:c>
      <x:c r="J54" t="n">
        <x:v>0.6636079474448414</x:v>
      </x:c>
      <x:c r="K54" s="37" t="n">
        <x:f>VLOOKUP(C54,FWHM_Reference!$A$2:$B$16,2,FALSE)</x:f>
        <x:v>91</x:v>
      </x:c>
      <x:c r="L54" s="32" t="n">
        <x:f>VLOOKUP(F54,FWHM_Reference!$A$2:$B$16,2,FALSE)</x:f>
        <x:v>120</x:v>
      </x:c>
      <x:c r="M54" s="38" t="n">
        <x:f>ABS(K54-L54)</x:f>
        <x:v>29</x:v>
      </x:c>
    </x:row>
    <x:row r="55">
      <x:c r="A55" t="n">
        <x:v>54</x:v>
      </x:c>
      <x:c r="B55" t="n">
        <x:v>111</x:v>
      </x:c>
      <x:c r="C55" t="inlineStr">
        <x:is>
          <x:t xml:space="preserve">Ba2MgSi2O7</x:t>
        </x:is>
      </x:c>
      <x:c r="D55" t="n">
        <x:v>2</x:v>
      </x:c>
      <x:c r="E55" t="n">
        <x:v>199</x:v>
      </x:c>
      <x:c r="F55" t="inlineStr">
        <x:is>
          <x:t xml:space="preserve">Cs2BaP2O7</x:t>
        </x:is>
      </x:c>
      <x:c r="G55" t="n">
        <x:v>4</x:v>
      </x:c>
      <x:c r="H55" t="b">
        <x:v>0</x:v>
      </x:c>
      <x:c r="I55" t="n">
        <x:v>1.857197190370371</x:v>
      </x:c>
      <x:c r="J55" t="n">
        <x:v>0.6708130011256993</x:v>
      </x:c>
      <x:c r="K55" s="37" t="n">
        <x:f>VLOOKUP(C55,FWHM_Reference!$A$2:$B$16,2,FALSE)</x:f>
        <x:v>75</x:v>
      </x:c>
      <x:c r="L55" s="32" t="n">
        <x:f>VLOOKUP(F55,FWHM_Reference!$A$2:$B$16,2,FALSE)</x:f>
        <x:v>100</x:v>
      </x:c>
      <x:c r="M55" s="38" t="n">
        <x:f>ABS(K55-L55)</x:f>
        <x:v>25</x:v>
      </x:c>
    </x:row>
    <x:row r="56">
      <x:c r="A56" t="n">
        <x:v>55</x:v>
      </x:c>
      <x:c r="B56" t="n">
        <x:v>199</x:v>
      </x:c>
      <x:c r="C56" t="inlineStr">
        <x:is>
          <x:t xml:space="preserve">Cs2BaP2O7</x:t>
        </x:is>
      </x:c>
      <x:c r="D56" t="n">
        <x:v>4</x:v>
      </x:c>
      <x:c r="E56" t="n">
        <x:v>283</x:v>
      </x:c>
      <x:c r="F56" t="inlineStr">
        <x:is>
          <x:t xml:space="preserve">RbLi7(SiO4)2</x:t>
        </x:is>
      </x:c>
      <x:c r="G56" t="n">
        <x:v>4</x:v>
      </x:c>
      <x:c r="H56" t="b">
        <x:v>1</x:v>
      </x:c>
      <x:c r="I56" t="n">
        <x:v>1.871529603841834</x:v>
      </x:c>
      <x:c r="J56" t="n">
        <x:v>0.6759898177523974</x:v>
      </x:c>
      <x:c r="K56" s="37" t="n">
        <x:f>VLOOKUP(C56,FWHM_Reference!$A$2:$B$16,2,FALSE)</x:f>
        <x:v>100</x:v>
      </x:c>
      <x:c r="L56" s="32" t="n">
        <x:f>VLOOKUP(F56,FWHM_Reference!$A$2:$B$16,2,FALSE)</x:f>
        <x:v>42</x:v>
      </x:c>
      <x:c r="M56" s="38" t="n">
        <x:f>ABS(K56-L56)</x:f>
        <x:v>58</x:v>
      </x:c>
    </x:row>
    <x:row r="57">
      <x:c r="A57" t="n">
        <x:v>56</x:v>
      </x:c>
      <x:c r="B57" t="n">
        <x:v>95</x:v>
      </x:c>
      <x:c r="C57" t="inlineStr">
        <x:is>
          <x:t xml:space="preserve">Na3YSi2O7</x:t>
        </x:is>
      </x:c>
      <x:c r="D57" t="n">
        <x:v>4</x:v>
      </x:c>
      <x:c r="E57" t="n">
        <x:v>157</x:v>
      </x:c>
      <x:c r="F57" t="inlineStr">
        <x:is>
          <x:t xml:space="preserve">BaNa(B3O5)3</x:t>
        </x:is>
      </x:c>
      <x:c r="G57" t="n">
        <x:v>2</x:v>
      </x:c>
      <x:c r="H57" t="b">
        <x:v>0</x:v>
      </x:c>
      <x:c r="I57" t="n">
        <x:v>1.890917599335502</x:v>
      </x:c>
      <x:c r="J57" t="n">
        <x:v>0.682992692573851</x:v>
      </x:c>
      <x:c r="K57" s="37" t="n">
        <x:f>VLOOKUP(C57,FWHM_Reference!$A$2:$B$16,2,FALSE)</x:f>
        <x:v>105</x:v>
      </x:c>
      <x:c r="L57" s="32" t="n">
        <x:f>VLOOKUP(F57,FWHM_Reference!$A$2:$B$16,2,FALSE)</x:f>
        <x:v>61</x:v>
      </x:c>
      <x:c r="M57" s="38" t="n">
        <x:f>ABS(K57-L57)</x:f>
        <x:v>44</x:v>
      </x:c>
    </x:row>
    <x:row r="58">
      <x:c r="A58" t="n">
        <x:v>57</x:v>
      </x:c>
      <x:c r="B58" t="n">
        <x:v>171</x:v>
      </x:c>
      <x:c r="C58" t="inlineStr">
        <x:is>
          <x:t xml:space="preserve">BaLi2SiO4</x:t>
        </x:is>
      </x:c>
      <x:c r="D58" t="n">
        <x:v>4</x:v>
      </x:c>
      <x:c r="E58" t="n">
        <x:v>199</x:v>
      </x:c>
      <x:c r="F58" t="inlineStr">
        <x:is>
          <x:t xml:space="preserve">Cs2BaP2O7</x:t>
        </x:is>
      </x:c>
      <x:c r="G58" t="n">
        <x:v>4</x:v>
      </x:c>
      <x:c r="H58" t="b">
        <x:v>1</x:v>
      </x:c>
      <x:c r="I58" t="n">
        <x:v>1.892809718416997</x:v>
      </x:c>
      <x:c r="J58" t="n">
        <x:v>0.6836761192374955</x:v>
      </x:c>
      <x:c r="K58" s="37" t="n">
        <x:f>VLOOKUP(C58,FWHM_Reference!$A$2:$B$16,2,FALSE)</x:f>
        <x:v>61</x:v>
      </x:c>
      <x:c r="L58" s="32" t="n">
        <x:f>VLOOKUP(F58,FWHM_Reference!$A$2:$B$16,2,FALSE)</x:f>
        <x:v>100</x:v>
      </x:c>
      <x:c r="M58" s="38" t="n">
        <x:f>ABS(K58-L58)</x:f>
        <x:v>39</x:v>
      </x:c>
    </x:row>
    <x:row r="59">
      <x:c r="A59" t="n">
        <x:v>58</x:v>
      </x:c>
      <x:c r="B59" t="n">
        <x:v>157</x:v>
      </x:c>
      <x:c r="C59" t="inlineStr">
        <x:is>
          <x:t xml:space="preserve">BaNa(B3O5)3</x:t>
        </x:is>
      </x:c>
      <x:c r="D59" t="n">
        <x:v>2</x:v>
      </x:c>
      <x:c r="E59" t="n">
        <x:v>171</x:v>
      </x:c>
      <x:c r="F59" t="inlineStr">
        <x:is>
          <x:t xml:space="preserve">BaLi2SiO4</x:t>
        </x:is>
      </x:c>
      <x:c r="G59" t="n">
        <x:v>4</x:v>
      </x:c>
      <x:c r="H59" t="b">
        <x:v>0</x:v>
      </x:c>
      <x:c r="I59" t="n">
        <x:v>1.911817886826799</x:v>
      </x:c>
      <x:c r="J59" t="n">
        <x:v>0.6905418018709799</x:v>
      </x:c>
      <x:c r="K59" s="37" t="n">
        <x:f>VLOOKUP(C59,FWHM_Reference!$A$2:$B$16,2,FALSE)</x:f>
        <x:v>61</x:v>
      </x:c>
      <x:c r="L59" s="32" t="n">
        <x:f>VLOOKUP(F59,FWHM_Reference!$A$2:$B$16,2,FALSE)</x:f>
        <x:v>61</x:v>
      </x:c>
      <x:c r="M59" s="38" t="n">
        <x:f>ABS(K59-L59)</x:f>
        <x:v>0</x:v>
      </x:c>
    </x:row>
    <x:row r="60">
      <x:c r="A60" t="n">
        <x:v>59</x:v>
      </x:c>
      <x:c r="B60" t="n">
        <x:v>95</x:v>
      </x:c>
      <x:c r="C60" t="inlineStr">
        <x:is>
          <x:t xml:space="preserve">Na3YSi2O7</x:t>
        </x:is>
      </x:c>
      <x:c r="D60" t="n">
        <x:v>4</x:v>
      </x:c>
      <x:c r="E60" t="n">
        <x:v>199</x:v>
      </x:c>
      <x:c r="F60" t="inlineStr">
        <x:is>
          <x:t xml:space="preserve">Cs2BaP2O7</x:t>
        </x:is>
      </x:c>
      <x:c r="G60" t="n">
        <x:v>4</x:v>
      </x:c>
      <x:c r="H60" t="b">
        <x:v>1</x:v>
      </x:c>
      <x:c r="I60" t="n">
        <x:v>1.924027100445727</x:v>
      </x:c>
      <x:c r="J60" t="n">
        <x:v>0.694951726283726</x:v>
      </x:c>
      <x:c r="K60" s="37" t="n">
        <x:f>VLOOKUP(C60,FWHM_Reference!$A$2:$B$16,2,FALSE)</x:f>
        <x:v>105</x:v>
      </x:c>
      <x:c r="L60" s="32" t="n">
        <x:f>VLOOKUP(F60,FWHM_Reference!$A$2:$B$16,2,FALSE)</x:f>
        <x:v>100</x:v>
      </x:c>
      <x:c r="M60" s="38" t="n">
        <x:f>ABS(K60-L60)</x:f>
        <x:v>5</x:v>
      </x:c>
    </x:row>
    <x:row r="61">
      <x:c r="A61" t="n">
        <x:v>60</x:v>
      </x:c>
      <x:c r="B61" t="n">
        <x:v>15</x:v>
      </x:c>
      <x:c r="C61" t="inlineStr">
        <x:is>
          <x:t xml:space="preserve">Rb2ZrSi2O7</x:t>
        </x:is>
      </x:c>
      <x:c r="D61" t="n">
        <x:v>4</x:v>
      </x:c>
      <x:c r="E61" t="n">
        <x:v>153</x:v>
      </x:c>
      <x:c r="F61" t="inlineStr">
        <x:is>
          <x:t xml:space="preserve">Ba3Si6(NO6)2</x:t>
        </x:is>
      </x:c>
      <x:c r="G61" t="n">
        <x:v>2</x:v>
      </x:c>
      <x:c r="H61" t="b">
        <x:v>0</x:v>
      </x:c>
      <x:c r="I61" t="n">
        <x:v>1.945311090934941</x:v>
      </x:c>
      <x:c r="J61" t="n">
        <x:v>0.7026394277351553</x:v>
      </x:c>
      <x:c r="K61" s="37" t="n">
        <x:f>VLOOKUP(C61,FWHM_Reference!$A$2:$B$16,2,FALSE)</x:f>
        <x:v>91</x:v>
      </x:c>
      <x:c r="L61" s="32" t="n">
        <x:f>VLOOKUP(F61,FWHM_Reference!$A$2:$B$16,2,FALSE)</x:f>
        <x:v>68</x:v>
      </x:c>
      <x:c r="M61" s="38" t="n">
        <x:f>ABS(K61-L61)</x:f>
        <x:v>23</x:v>
      </x:c>
    </x:row>
    <x:row r="62">
      <x:c r="A62" t="n">
        <x:v>61</x:v>
      </x:c>
      <x:c r="B62" t="n">
        <x:v>95</x:v>
      </x:c>
      <x:c r="C62" t="inlineStr">
        <x:is>
          <x:t xml:space="preserve">Na3YSi2O7</x:t>
        </x:is>
      </x:c>
      <x:c r="D62" t="n">
        <x:v>4</x:v>
      </x:c>
      <x:c r="E62" t="n">
        <x:v>153</x:v>
      </x:c>
      <x:c r="F62" t="inlineStr">
        <x:is>
          <x:t xml:space="preserve">Ba3Si6(NO6)2</x:t>
        </x:is>
      </x:c>
      <x:c r="G62" t="n">
        <x:v>2</x:v>
      </x:c>
      <x:c r="H62" t="b">
        <x:v>0</x:v>
      </x:c>
      <x:c r="I62" t="n">
        <x:v>1.95968360042796</x:v>
      </x:c>
      <x:c r="J62" t="n">
        <x:v>0.7078307269018296</x:v>
      </x:c>
      <x:c r="K62" s="37" t="n">
        <x:f>VLOOKUP(C62,FWHM_Reference!$A$2:$B$16,2,FALSE)</x:f>
        <x:v>105</x:v>
      </x:c>
      <x:c r="L62" s="32" t="n">
        <x:f>VLOOKUP(F62,FWHM_Reference!$A$2:$B$16,2,FALSE)</x:f>
        <x:v>68</x:v>
      </x:c>
      <x:c r="M62" s="38" t="n">
        <x:f>ABS(K62-L62)</x:f>
        <x:v>37</x:v>
      </x:c>
    </x:row>
    <x:row r="63">
      <x:c r="A63" t="n">
        <x:v>62</x:v>
      </x:c>
      <x:c r="B63" t="n">
        <x:v>153</x:v>
      </x:c>
      <x:c r="C63" t="inlineStr">
        <x:is>
          <x:t xml:space="preserve">Ba3Si6(NO6)2</x:t>
        </x:is>
      </x:c>
      <x:c r="D63" t="n">
        <x:v>2</x:v>
      </x:c>
      <x:c r="E63" t="n">
        <x:v>261</x:v>
      </x:c>
      <x:c r="F63" t="inlineStr">
        <x:is>
          <x:t xml:space="preserve">NaCaPO4</x:t>
        </x:is>
      </x:c>
      <x:c r="G63" t="n">
        <x:v>4</x:v>
      </x:c>
      <x:c r="H63" t="b">
        <x:v>0</x:v>
      </x:c>
      <x:c r="I63" t="n">
        <x:v>1.961508463762682</x:v>
      </x:c>
      <x:c r="J63" t="n">
        <x:v>0.7084898610296196</x:v>
      </x:c>
      <x:c r="K63" s="37" t="n">
        <x:f>VLOOKUP(C63,FWHM_Reference!$A$2:$B$16,2,FALSE)</x:f>
        <x:v>68</x:v>
      </x:c>
      <x:c r="L63" s="32" t="n">
        <x:f>VLOOKUP(F63,FWHM_Reference!$A$2:$B$16,2,FALSE)</x:f>
        <x:v>65</x:v>
      </x:c>
      <x:c r="M63" s="38" t="n">
        <x:f>ABS(K63-L63)</x:f>
        <x:v>3</x:v>
      </x:c>
    </x:row>
    <x:row r="64">
      <x:c r="A64" t="n">
        <x:v>63</x:v>
      </x:c>
      <x:c r="B64" t="n">
        <x:v>16</x:v>
      </x:c>
      <x:c r="C64" t="inlineStr">
        <x:is>
          <x:t xml:space="preserve">Sr2LiSiO4F</x:t>
        </x:is>
      </x:c>
      <x:c r="D64" t="n">
        <x:v>4</x:v>
      </x:c>
      <x:c r="E64" t="n">
        <x:v>180</x:v>
      </x:c>
      <x:c r="F64" t="inlineStr">
        <x:is>
          <x:t xml:space="preserve">Ba6Y2Al4O15</x:t>
        </x:is>
      </x:c>
      <x:c r="G64" t="n">
        <x:v>2</x:v>
      </x:c>
      <x:c r="H64" t="b">
        <x:v>0</x:v>
      </x:c>
      <x:c r="I64" t="n">
        <x:v>1.965614485304116</x:v>
      </x:c>
      <x:c r="J64" t="n">
        <x:v>0.709972941365503</x:v>
      </x:c>
      <x:c r="K64" s="37" t="n">
        <x:f>VLOOKUP(C64,FWHM_Reference!$A$2:$B$16,2,FALSE)</x:f>
        <x:v>100</x:v>
      </x:c>
      <x:c r="L64" s="32" t="n">
        <x:f>VLOOKUP(F64,FWHM_Reference!$A$2:$B$16,2,FALSE)</x:f>
        <x:v>69</x:v>
      </x:c>
      <x:c r="M64" s="38" t="n">
        <x:f>ABS(K64-L64)</x:f>
        <x:v>31</x:v>
      </x:c>
    </x:row>
    <x:row r="65">
      <x:c r="A65" t="n">
        <x:v>64</x:v>
      </x:c>
      <x:c r="B65" t="n">
        <x:v>17</x:v>
      </x:c>
      <x:c r="C65" t="inlineStr">
        <x:is>
          <x:t xml:space="preserve">SrAl2O4</x:t>
        </x:is>
      </x:c>
      <x:c r="D65" t="n">
        <x:v>2</x:v>
      </x:c>
      <x:c r="E65" t="n">
        <x:v>157</x:v>
      </x:c>
      <x:c r="F65" t="inlineStr">
        <x:is>
          <x:t xml:space="preserve">BaNa(B3O5)3</x:t>
        </x:is>
      </x:c>
      <x:c r="G65" t="n">
        <x:v>2</x:v>
      </x:c>
      <x:c r="H65" t="b">
        <x:v>1</x:v>
      </x:c>
      <x:c r="I65" t="n">
        <x:v>1.995935349852285</x:v>
      </x:c>
      <x:c r="J65" t="n">
        <x:v>0.7209247294953498</x:v>
      </x:c>
      <x:c r="K65" s="37" t="n">
        <x:f>VLOOKUP(C65,FWHM_Reference!$A$2:$B$16,2,FALSE)</x:f>
        <x:v>77</x:v>
      </x:c>
      <x:c r="L65" s="32" t="n">
        <x:f>VLOOKUP(F65,FWHM_Reference!$A$2:$B$16,2,FALSE)</x:f>
        <x:v>61</x:v>
      </x:c>
      <x:c r="M65" s="38" t="n">
        <x:f>ABS(K65-L65)</x:f>
        <x:v>16</x:v>
      </x:c>
    </x:row>
    <x:row r="66">
      <x:c r="A66" t="n">
        <x:v>65</x:v>
      </x:c>
      <x:c r="B66" t="n">
        <x:v>16</x:v>
      </x:c>
      <x:c r="C66" t="inlineStr">
        <x:is>
          <x:t xml:space="preserve">Sr2LiSiO4F</x:t>
        </x:is>
      </x:c>
      <x:c r="D66" t="n">
        <x:v>4</x:v>
      </x:c>
      <x:c r="E66" t="n">
        <x:v>153</x:v>
      </x:c>
      <x:c r="F66" t="inlineStr">
        <x:is>
          <x:t xml:space="preserve">Ba3Si6(NO6)2</x:t>
        </x:is>
      </x:c>
      <x:c r="G66" t="n">
        <x:v>2</x:v>
      </x:c>
      <x:c r="H66" t="b">
        <x:v>0</x:v>
      </x:c>
      <x:c r="I66" t="n">
        <x:v>1.999018067084788</x:v>
      </x:c>
      <x:c r="J66" t="n">
        <x:v>0.7220381959646508</x:v>
      </x:c>
      <x:c r="K66" s="37" t="n">
        <x:f>VLOOKUP(C66,FWHM_Reference!$A$2:$B$16,2,FALSE)</x:f>
        <x:v>100</x:v>
      </x:c>
      <x:c r="L66" s="32" t="n">
        <x:f>VLOOKUP(F66,FWHM_Reference!$A$2:$B$16,2,FALSE)</x:f>
        <x:v>68</x:v>
      </x:c>
      <x:c r="M66" s="38" t="n">
        <x:f>ABS(K66-L66)</x:f>
        <x:v>32</x:v>
      </x:c>
    </x:row>
    <x:row r="67">
      <x:c r="A67" t="n">
        <x:v>66</x:v>
      </x:c>
      <x:c r="B67" t="n">
        <x:v>16</x:v>
      </x:c>
      <x:c r="C67" t="inlineStr">
        <x:is>
          <x:t xml:space="preserve">Sr2LiSiO4F</x:t>
        </x:is>
      </x:c>
      <x:c r="D67" t="n">
        <x:v>4</x:v>
      </x:c>
      <x:c r="E67" t="n">
        <x:v>144</x:v>
      </x:c>
      <x:c r="F67" t="inlineStr">
        <x:is>
          <x:t xml:space="preserve">Ba2Mg(PO4)2</x:t>
        </x:is>
      </x:c>
      <x:c r="G67" t="n">
        <x:v>2</x:v>
      </x:c>
      <x:c r="H67" t="b">
        <x:v>0</x:v>
      </x:c>
      <x:c r="I67" t="n">
        <x:v>2.002264339502133</x:v>
      </x:c>
      <x:c r="J67" t="n">
        <x:v>0.7232107379833669</x:v>
      </x:c>
      <x:c r="K67" s="37" t="n">
        <x:f>VLOOKUP(C67,FWHM_Reference!$A$2:$B$16,2,FALSE)</x:f>
        <x:v>100</x:v>
      </x:c>
      <x:c r="L67" s="32" t="n">
        <x:f>VLOOKUP(F67,FWHM_Reference!$A$2:$B$16,2,FALSE)</x:f>
        <x:v>120</x:v>
      </x:c>
      <x:c r="M67" s="38" t="n">
        <x:f>ABS(K67-L67)</x:f>
        <x:v>20</x:v>
      </x:c>
    </x:row>
    <x:row r="68">
      <x:c r="A68" t="n">
        <x:v>67</x:v>
      </x:c>
      <x:c r="B68" t="n">
        <x:v>17</x:v>
      </x:c>
      <x:c r="C68" t="inlineStr">
        <x:is>
          <x:t xml:space="preserve">SrAl2O4</x:t>
        </x:is>
      </x:c>
      <x:c r="D68" t="n">
        <x:v>2</x:v>
      </x:c>
      <x:c r="E68" t="n">
        <x:v>95</x:v>
      </x:c>
      <x:c r="F68" t="inlineStr">
        <x:is>
          <x:t xml:space="preserve">Na3YSi2O7</x:t>
        </x:is>
      </x:c>
      <x:c r="G68" t="n">
        <x:v>4</x:v>
      </x:c>
      <x:c r="H68" t="b">
        <x:v>0</x:v>
      </x:c>
      <x:c r="I68" t="n">
        <x:v>2.02211237402136</x:v>
      </x:c>
      <x:c r="J68" t="n">
        <x:v>0.7303797772600384</x:v>
      </x:c>
      <x:c r="K68" s="37" t="n">
        <x:f>VLOOKUP(C68,FWHM_Reference!$A$2:$B$16,2,FALSE)</x:f>
        <x:v>77</x:v>
      </x:c>
      <x:c r="L68" s="32" t="n">
        <x:f>VLOOKUP(F68,FWHM_Reference!$A$2:$B$16,2,FALSE)</x:f>
        <x:v>105</x:v>
      </x:c>
      <x:c r="M68" s="38" t="n">
        <x:f>ABS(K68-L68)</x:f>
        <x:v>28</x:v>
      </x:c>
    </x:row>
    <x:row r="69">
      <x:c r="A69" t="n">
        <x:v>68</x:v>
      </x:c>
      <x:c r="B69" t="n">
        <x:v>14</x:v>
      </x:c>
      <x:c r="C69" t="inlineStr">
        <x:is>
          <x:t xml:space="preserve">K2RbNaLi12(SiO4)4</x:t>
        </x:is>
      </x:c>
      <x:c r="D69" t="n">
        <x:v>4</x:v>
      </x:c>
      <x:c r="E69" t="n">
        <x:v>199</x:v>
      </x:c>
      <x:c r="F69" t="inlineStr">
        <x:is>
          <x:t xml:space="preserve">Cs2BaP2O7</x:t>
        </x:is>
      </x:c>
      <x:c r="G69" t="n">
        <x:v>4</x:v>
      </x:c>
      <x:c r="H69" t="b">
        <x:v>1</x:v>
      </x:c>
      <x:c r="I69" t="n">
        <x:v>2.025762424657112</x:v>
      </x:c>
      <x:c r="J69" t="n">
        <x:v>0.7316981625310938</x:v>
      </x:c>
      <x:c r="K69" s="37" t="n">
        <x:f>VLOOKUP(C69,FWHM_Reference!$A$2:$B$16,2,FALSE)</x:f>
        <x:v>51</x:v>
      </x:c>
      <x:c r="L69" s="32" t="n">
        <x:f>VLOOKUP(F69,FWHM_Reference!$A$2:$B$16,2,FALSE)</x:f>
        <x:v>100</x:v>
      </x:c>
      <x:c r="M69" s="38" t="n">
        <x:f>ABS(K69-L69)</x:f>
        <x:v>49</x:v>
      </x:c>
    </x:row>
    <x:row r="70">
      <x:c r="A70" t="n">
        <x:v>69</x:v>
      </x:c>
      <x:c r="B70" t="n">
        <x:v>142</x:v>
      </x:c>
      <x:c r="C70" t="inlineStr">
        <x:is>
          <x:t xml:space="preserve">Ba2Ca(BO3)2</x:t>
        </x:is>
      </x:c>
      <x:c r="D70" t="n">
        <x:v>2</x:v>
      </x:c>
      <x:c r="E70" t="n">
        <x:v>157</x:v>
      </x:c>
      <x:c r="F70" t="inlineStr">
        <x:is>
          <x:t xml:space="preserve">BaNa(B3O5)3</x:t>
        </x:is>
      </x:c>
      <x:c r="G70" t="n">
        <x:v>2</x:v>
      </x:c>
      <x:c r="H70" t="b">
        <x:v>1</x:v>
      </x:c>
      <x:c r="I70" t="n">
        <x:v>2.029331800640326</x:v>
      </x:c>
      <x:c r="J70" t="n">
        <x:v>0.7329874084053933</x:v>
      </x:c>
      <x:c r="K70" s="37" t="n">
        <x:f>VLOOKUP(C70,FWHM_Reference!$A$2:$B$16,2,FALSE)</x:f>
        <x:v>75</x:v>
      </x:c>
      <x:c r="L70" s="32" t="n">
        <x:f>VLOOKUP(F70,FWHM_Reference!$A$2:$B$16,2,FALSE)</x:f>
        <x:v>61</x:v>
      </x:c>
      <x:c r="M70" s="38" t="n">
        <x:f>ABS(K70-L70)</x:f>
        <x:v>14</x:v>
      </x:c>
    </x:row>
    <x:row r="71">
      <x:c r="A71" t="n">
        <x:v>70</x:v>
      </x:c>
      <x:c r="B71" t="n">
        <x:v>16</x:v>
      </x:c>
      <x:c r="C71" t="inlineStr">
        <x:is>
          <x:t xml:space="preserve">Sr2LiSiO4F</x:t>
        </x:is>
      </x:c>
      <x:c r="D71" t="n">
        <x:v>4</x:v>
      </x:c>
      <x:c r="E71" t="n">
        <x:v>157</x:v>
      </x:c>
      <x:c r="F71" t="inlineStr">
        <x:is>
          <x:t xml:space="preserve">BaNa(B3O5)3</x:t>
        </x:is>
      </x:c>
      <x:c r="G71" t="n">
        <x:v>2</x:v>
      </x:c>
      <x:c r="H71" t="b">
        <x:v>0</x:v>
      </x:c>
      <x:c r="I71" t="n">
        <x:v>2.046331367347372</x:v>
      </x:c>
      <x:c r="J71" t="n">
        <x:v>0.7391275912678903</x:v>
      </x:c>
      <x:c r="K71" s="37" t="n">
        <x:f>VLOOKUP(C71,FWHM_Reference!$A$2:$B$16,2,FALSE)</x:f>
        <x:v>100</x:v>
      </x:c>
      <x:c r="L71" s="32" t="n">
        <x:f>VLOOKUP(F71,FWHM_Reference!$A$2:$B$16,2,FALSE)</x:f>
        <x:v>61</x:v>
      </x:c>
      <x:c r="M71" s="38" t="n">
        <x:f>ABS(K71-L71)</x:f>
        <x:v>39</x:v>
      </x:c>
    </x:row>
    <x:row r="72">
      <x:c r="A72" t="n">
        <x:v>71</x:v>
      </x:c>
      <x:c r="B72" t="n">
        <x:v>153</x:v>
      </x:c>
      <x:c r="C72" t="inlineStr">
        <x:is>
          <x:t xml:space="preserve">Ba3Si6(NO6)2</x:t>
        </x:is>
      </x:c>
      <x:c r="D72" t="n">
        <x:v>2</x:v>
      </x:c>
      <x:c r="E72" t="n">
        <x:v>171</x:v>
      </x:c>
      <x:c r="F72" t="inlineStr">
        <x:is>
          <x:t xml:space="preserve">BaLi2SiO4</x:t>
        </x:is>
      </x:c>
      <x:c r="G72" t="n">
        <x:v>4</x:v>
      </x:c>
      <x:c r="H72" t="b">
        <x:v>0</x:v>
      </x:c>
      <x:c r="I72" t="n">
        <x:v>2.058923881399297</x:v>
      </x:c>
      <x:c r="J72" t="n">
        <x:v>0.7436759624299235</x:v>
      </x:c>
      <x:c r="K72" s="37" t="n">
        <x:f>VLOOKUP(C72,FWHM_Reference!$A$2:$B$16,2,FALSE)</x:f>
        <x:v>68</x:v>
      </x:c>
      <x:c r="L72" s="32" t="n">
        <x:f>VLOOKUP(F72,FWHM_Reference!$A$2:$B$16,2,FALSE)</x:f>
        <x:v>61</x:v>
      </x:c>
      <x:c r="M72" s="38" t="n">
        <x:f>ABS(K72-L72)</x:f>
        <x:v>7</x:v>
      </x:c>
    </x:row>
    <x:row r="73">
      <x:c r="A73" t="n">
        <x:v>72</x:v>
      </x:c>
      <x:c r="B73" t="n">
        <x:v>111</x:v>
      </x:c>
      <x:c r="C73" t="inlineStr">
        <x:is>
          <x:t xml:space="preserve">Ba2MgSi2O7</x:t>
        </x:is>
      </x:c>
      <x:c r="D73" t="n">
        <x:v>2</x:v>
      </x:c>
      <x:c r="E73" t="n">
        <x:v>157</x:v>
      </x:c>
      <x:c r="F73" t="inlineStr">
        <x:is>
          <x:t xml:space="preserve">BaNa(B3O5)3</x:t>
        </x:is>
      </x:c>
      <x:c r="G73" t="n">
        <x:v>2</x:v>
      </x:c>
      <x:c r="H73" t="b">
        <x:v>1</x:v>
      </x:c>
      <x:c r="I73" t="n">
        <x:v>2.076109189684203</x:v>
      </x:c>
      <x:c r="J73" t="n">
        <x:v>0.7498832344878621</x:v>
      </x:c>
      <x:c r="K73" s="37" t="n">
        <x:f>VLOOKUP(C73,FWHM_Reference!$A$2:$B$16,2,FALSE)</x:f>
        <x:v>75</x:v>
      </x:c>
      <x:c r="L73" s="32" t="n">
        <x:f>VLOOKUP(F73,FWHM_Reference!$A$2:$B$16,2,FALSE)</x:f>
        <x:v>61</x:v>
      </x:c>
      <x:c r="M73" s="38" t="n">
        <x:f>ABS(K73-L73)</x:f>
        <x:v>14</x:v>
      </x:c>
    </x:row>
    <x:row r="74">
      <x:c r="A74" t="n">
        <x:v>73</x:v>
      </x:c>
      <x:c r="B74" t="n">
        <x:v>95</x:v>
      </x:c>
      <x:c r="C74" t="inlineStr">
        <x:is>
          <x:t xml:space="preserve">Na3YSi2O7</x:t>
        </x:is>
      </x:c>
      <x:c r="D74" t="n">
        <x:v>4</x:v>
      </x:c>
      <x:c r="E74" t="n">
        <x:v>180</x:v>
      </x:c>
      <x:c r="F74" t="inlineStr">
        <x:is>
          <x:t xml:space="preserve">Ba6Y2Al4O15</x:t>
        </x:is>
      </x:c>
      <x:c r="G74" t="n">
        <x:v>2</x:v>
      </x:c>
      <x:c r="H74" t="b">
        <x:v>0</x:v>
      </x:c>
      <x:c r="I74" t="n">
        <x:v>2.100648571163652</x:v>
      </x:c>
      <x:c r="J74" t="n">
        <x:v>0.7587467715540123</x:v>
      </x:c>
      <x:c r="K74" s="37" t="n">
        <x:f>VLOOKUP(C74,FWHM_Reference!$A$2:$B$16,2,FALSE)</x:f>
        <x:v>105</x:v>
      </x:c>
      <x:c r="L74" s="32" t="n">
        <x:f>VLOOKUP(F74,FWHM_Reference!$A$2:$B$16,2,FALSE)</x:f>
        <x:v>69</x:v>
      </x:c>
      <x:c r="M74" s="38" t="n">
        <x:f>ABS(K74-L74)</x:f>
        <x:v>36</x:v>
      </x:c>
    </x:row>
    <x:row r="75">
      <x:c r="A75" t="n">
        <x:v>74</x:v>
      </x:c>
      <x:c r="B75" t="n">
        <x:v>180</x:v>
      </x:c>
      <x:c r="C75" t="inlineStr">
        <x:is>
          <x:t xml:space="preserve">Ba6Y2Al4O15</x:t>
        </x:is>
      </x:c>
      <x:c r="D75" t="n">
        <x:v>2</x:v>
      </x:c>
      <x:c r="E75" t="n">
        <x:v>261</x:v>
      </x:c>
      <x:c r="F75" t="inlineStr">
        <x:is>
          <x:t xml:space="preserve">NaCaPO4</x:t>
        </x:is>
      </x:c>
      <x:c r="G75" t="n">
        <x:v>4</x:v>
      </x:c>
      <x:c r="H75" t="b">
        <x:v>0</x:v>
      </x:c>
      <x:c r="I75" t="n">
        <x:v>2.108062320035279</x:v>
      </x:c>
      <x:c r="J75" t="n">
        <x:v>0.7614245912039421</x:v>
      </x:c>
      <x:c r="K75" s="37" t="n">
        <x:f>VLOOKUP(C75,FWHM_Reference!$A$2:$B$16,2,FALSE)</x:f>
        <x:v>69</x:v>
      </x:c>
      <x:c r="L75" s="32" t="n">
        <x:f>VLOOKUP(F75,FWHM_Reference!$A$2:$B$16,2,FALSE)</x:f>
        <x:v>65</x:v>
      </x:c>
      <x:c r="M75" s="38" t="n">
        <x:f>ABS(K75-L75)</x:f>
        <x:v>4</x:v>
      </x:c>
    </x:row>
    <x:row r="76">
      <x:c r="A76" t="n">
        <x:v>75</x:v>
      </x:c>
      <x:c r="B76" t="n">
        <x:v>17</x:v>
      </x:c>
      <x:c r="C76" t="inlineStr">
        <x:is>
          <x:t xml:space="preserve">SrAl2O4</x:t>
        </x:is>
      </x:c>
      <x:c r="D76" t="n">
        <x:v>2</x:v>
      </x:c>
      <x:c r="E76" t="n">
        <x:v>199</x:v>
      </x:c>
      <x:c r="F76" t="inlineStr">
        <x:is>
          <x:t xml:space="preserve">Cs2BaP2O7</x:t>
        </x:is>
      </x:c>
      <x:c r="G76" t="n">
        <x:v>4</x:v>
      </x:c>
      <x:c r="H76" t="b">
        <x:v>0</x:v>
      </x:c>
      <x:c r="I76" t="n">
        <x:v>2.114277518564791</x:v>
      </x:c>
      <x:c r="J76" t="n">
        <x:v>0.7636694987451507</x:v>
      </x:c>
      <x:c r="K76" s="37" t="n">
        <x:f>VLOOKUP(C76,FWHM_Reference!$A$2:$B$16,2,FALSE)</x:f>
        <x:v>77</x:v>
      </x:c>
      <x:c r="L76" s="32" t="n">
        <x:f>VLOOKUP(F76,FWHM_Reference!$A$2:$B$16,2,FALSE)</x:f>
        <x:v>100</x:v>
      </x:c>
      <x:c r="M76" s="38" t="n">
        <x:f>ABS(K76-L76)</x:f>
        <x:v>23</x:v>
      </x:c>
    </x:row>
    <x:row r="77">
      <x:c r="A77" t="n">
        <x:v>76</x:v>
      </x:c>
      <x:c r="B77" t="n">
        <x:v>95</x:v>
      </x:c>
      <x:c r="C77" t="inlineStr">
        <x:is>
          <x:t xml:space="preserve">Na3YSi2O7</x:t>
        </x:is>
      </x:c>
      <x:c r="D77" t="n">
        <x:v>4</x:v>
      </x:c>
      <x:c r="E77" t="n">
        <x:v>111</x:v>
      </x:c>
      <x:c r="F77" t="inlineStr">
        <x:is>
          <x:t xml:space="preserve">Ba2MgSi2O7</x:t>
        </x:is>
      </x:c>
      <x:c r="G77" t="n">
        <x:v>2</x:v>
      </x:c>
      <x:c r="H77" t="b">
        <x:v>0</x:v>
      </x:c>
      <x:c r="I77" t="n">
        <x:v>2.126014070214413</x:v>
      </x:c>
      <x:c r="J77" t="n">
        <x:v>0.7679086993404196</x:v>
      </x:c>
      <x:c r="K77" s="37" t="n">
        <x:f>VLOOKUP(C77,FWHM_Reference!$A$2:$B$16,2,FALSE)</x:f>
        <x:v>105</x:v>
      </x:c>
      <x:c r="L77" s="32" t="n">
        <x:f>VLOOKUP(F77,FWHM_Reference!$A$2:$B$16,2,FALSE)</x:f>
        <x:v>75</x:v>
      </x:c>
      <x:c r="M77" s="38" t="n">
        <x:f>ABS(K77-L77)</x:f>
        <x:v>30</x:v>
      </x:c>
    </x:row>
    <x:row r="78">
      <x:c r="A78" t="n">
        <x:v>77</x:v>
      </x:c>
      <x:c r="B78" t="n">
        <x:v>180</x:v>
      </x:c>
      <x:c r="C78" t="inlineStr">
        <x:is>
          <x:t xml:space="preserve">Ba6Y2Al4O15</x:t>
        </x:is>
      </x:c>
      <x:c r="D78" t="n">
        <x:v>2</x:v>
      </x:c>
      <x:c r="E78" t="n">
        <x:v>199</x:v>
      </x:c>
      <x:c r="F78" t="inlineStr">
        <x:is>
          <x:t xml:space="preserve">Cs2BaP2O7</x:t>
        </x:is>
      </x:c>
      <x:c r="G78" t="n">
        <x:v>4</x:v>
      </x:c>
      <x:c r="H78" t="b">
        <x:v>0</x:v>
      </x:c>
      <x:c r="I78" t="n">
        <x:v>2.142204333987456</x:v>
      </x:c>
      <x:c r="J78" t="n">
        <x:v>0.7737565648696829</x:v>
      </x:c>
      <x:c r="K78" s="37" t="n">
        <x:f>VLOOKUP(C78,FWHM_Reference!$A$2:$B$16,2,FALSE)</x:f>
        <x:v>69</x:v>
      </x:c>
      <x:c r="L78" s="32" t="n">
        <x:f>VLOOKUP(F78,FWHM_Reference!$A$2:$B$16,2,FALSE)</x:f>
        <x:v>100</x:v>
      </x:c>
      <x:c r="M78" s="38" t="n">
        <x:f>ABS(K78-L78)</x:f>
        <x:v>31</x:v>
      </x:c>
    </x:row>
    <x:row r="79">
      <x:c r="A79" t="n">
        <x:v>78</x:v>
      </x:c>
      <x:c r="B79" t="n">
        <x:v>142</x:v>
      </x:c>
      <x:c r="C79" t="inlineStr">
        <x:is>
          <x:t xml:space="preserve">Ba2Ca(BO3)2</x:t>
        </x:is>
      </x:c>
      <x:c r="D79" t="n">
        <x:v>2</x:v>
      </x:c>
      <x:c r="E79" t="n">
        <x:v>199</x:v>
      </x:c>
      <x:c r="F79" t="inlineStr">
        <x:is>
          <x:t xml:space="preserve">Cs2BaP2O7</x:t>
        </x:is>
      </x:c>
      <x:c r="G79" t="n">
        <x:v>4</x:v>
      </x:c>
      <x:c r="H79" t="b">
        <x:v>0</x:v>
      </x:c>
      <x:c r="I79" t="n">
        <x:v>2.16492777581175</x:v>
      </x:c>
      <x:c r="J79" t="n">
        <x:v>0.7819641910092747</x:v>
      </x:c>
      <x:c r="K79" s="37" t="n">
        <x:f>VLOOKUP(C79,FWHM_Reference!$A$2:$B$16,2,FALSE)</x:f>
        <x:v>75</x:v>
      </x:c>
      <x:c r="L79" s="32" t="n">
        <x:f>VLOOKUP(F79,FWHM_Reference!$A$2:$B$16,2,FALSE)</x:f>
        <x:v>100</x:v>
      </x:c>
      <x:c r="M79" s="38" t="n">
        <x:f>ABS(K79-L79)</x:f>
        <x:v>25</x:v>
      </x:c>
    </x:row>
    <x:row r="80">
      <x:c r="A80" t="n">
        <x:v>79</x:v>
      </x:c>
      <x:c r="B80" t="n">
        <x:v>142</x:v>
      </x:c>
      <x:c r="C80" t="inlineStr">
        <x:is>
          <x:t xml:space="preserve">Ba2Ca(BO3)2</x:t>
        </x:is>
      </x:c>
      <x:c r="D80" t="n">
        <x:v>2</x:v>
      </x:c>
      <x:c r="E80" t="n">
        <x:v>171</x:v>
      </x:c>
      <x:c r="F80" t="inlineStr">
        <x:is>
          <x:t xml:space="preserve">BaLi2SiO4</x:t>
        </x:is>
      </x:c>
      <x:c r="G80" t="n">
        <x:v>4</x:v>
      </x:c>
      <x:c r="H80" t="b">
        <x:v>0</x:v>
      </x:c>
      <x:c r="I80" t="n">
        <x:v>2.166572950444275</x:v>
      </x:c>
      <x:c r="J80" t="n">
        <x:v>0.7825584222187241</x:v>
      </x:c>
      <x:c r="K80" s="37" t="n">
        <x:f>VLOOKUP(C80,FWHM_Reference!$A$2:$B$16,2,FALSE)</x:f>
        <x:v>75</x:v>
      </x:c>
      <x:c r="L80" s="32" t="n">
        <x:f>VLOOKUP(F80,FWHM_Reference!$A$2:$B$16,2,FALSE)</x:f>
        <x:v>61</x:v>
      </x:c>
      <x:c r="M80" s="38" t="n">
        <x:f>ABS(K80-L80)</x:f>
        <x:v>14</x:v>
      </x:c>
    </x:row>
    <x:row r="81">
      <x:c r="A81" t="n">
        <x:v>80</x:v>
      </x:c>
      <x:c r="B81" t="n">
        <x:v>142</x:v>
      </x:c>
      <x:c r="C81" t="inlineStr">
        <x:is>
          <x:t xml:space="preserve">Ba2Ca(BO3)2</x:t>
        </x:is>
      </x:c>
      <x:c r="D81" t="n">
        <x:v>2</x:v>
      </x:c>
      <x:c r="E81" t="n">
        <x:v>261</x:v>
      </x:c>
      <x:c r="F81" t="inlineStr">
        <x:is>
          <x:t xml:space="preserve">NaCaPO4</x:t>
        </x:is>
      </x:c>
      <x:c r="G81" t="n">
        <x:v>4</x:v>
      </x:c>
      <x:c r="H81" t="b">
        <x:v>0</x:v>
      </x:c>
      <x:c r="I81" t="n">
        <x:v>2.175601446320083</x:v>
      </x:c>
      <x:c r="J81" t="n">
        <x:v>0.7858194827272712</x:v>
      </x:c>
      <x:c r="K81" s="37" t="n">
        <x:f>VLOOKUP(C81,FWHM_Reference!$A$2:$B$16,2,FALSE)</x:f>
        <x:v>75</x:v>
      </x:c>
      <x:c r="L81" s="32" t="n">
        <x:f>VLOOKUP(F81,FWHM_Reference!$A$2:$B$16,2,FALSE)</x:f>
        <x:v>65</x:v>
      </x:c>
      <x:c r="M81" s="38" t="n">
        <x:f>ABS(K81-L81)</x:f>
        <x:v>10</x:v>
      </x:c>
    </x:row>
    <x:row r="82">
      <x:c r="A82" t="n">
        <x:v>81</x:v>
      </x:c>
      <x:c r="B82" t="n">
        <x:v>153</x:v>
      </x:c>
      <x:c r="C82" t="inlineStr">
        <x:is>
          <x:t xml:space="preserve">Ba3Si6(NO6)2</x:t>
        </x:is>
      </x:c>
      <x:c r="D82" t="n">
        <x:v>2</x:v>
      </x:c>
      <x:c r="E82" t="n">
        <x:v>199</x:v>
      </x:c>
      <x:c r="F82" t="inlineStr">
        <x:is>
          <x:t xml:space="preserve">Cs2BaP2O7</x:t>
        </x:is>
      </x:c>
      <x:c r="G82" t="n">
        <x:v>4</x:v>
      </x:c>
      <x:c r="H82" t="b">
        <x:v>0</x:v>
      </x:c>
      <x:c r="I82" t="n">
        <x:v>2.182639826635275</x:v>
      </x:c>
      <x:c r="J82" t="n">
        <x:v>0.7883617205934381</x:v>
      </x:c>
      <x:c r="K82" s="37" t="n">
        <x:f>VLOOKUP(C82,FWHM_Reference!$A$2:$B$16,2,FALSE)</x:f>
        <x:v>68</x:v>
      </x:c>
      <x:c r="L82" s="32" t="n">
        <x:f>VLOOKUP(F82,FWHM_Reference!$A$2:$B$16,2,FALSE)</x:f>
        <x:v>100</x:v>
      </x:c>
      <x:c r="M82" s="38" t="n">
        <x:f>ABS(K82-L82)</x:f>
        <x:v>32</x:v>
      </x:c>
    </x:row>
    <x:row r="83">
      <x:c r="A83" t="n">
        <x:v>82</x:v>
      </x:c>
      <x:c r="B83" t="n">
        <x:v>111</x:v>
      </x:c>
      <x:c r="C83" t="inlineStr">
        <x:is>
          <x:t xml:space="preserve">Ba2MgSi2O7</x:t>
        </x:is>
      </x:c>
      <x:c r="D83" t="n">
        <x:v>2</x:v>
      </x:c>
      <x:c r="E83" t="n">
        <x:v>171</x:v>
      </x:c>
      <x:c r="F83" t="inlineStr">
        <x:is>
          <x:t xml:space="preserve">BaLi2SiO4</x:t>
        </x:is>
      </x:c>
      <x:c r="G83" t="n">
        <x:v>4</x:v>
      </x:c>
      <x:c r="H83" t="b">
        <x:v>0</x:v>
      </x:c>
      <x:c r="I83" t="n">
        <x:v>2.187523029080395</x:v>
      </x:c>
      <x:c r="J83" t="n">
        <x:v>0.7901255158997736</x:v>
      </x:c>
      <x:c r="K83" s="37" t="n">
        <x:f>VLOOKUP(C83,FWHM_Reference!$A$2:$B$16,2,FALSE)</x:f>
        <x:v>75</x:v>
      </x:c>
      <x:c r="L83" s="32" t="n">
        <x:f>VLOOKUP(F83,FWHM_Reference!$A$2:$B$16,2,FALSE)</x:f>
        <x:v>61</x:v>
      </x:c>
      <x:c r="M83" s="38" t="n">
        <x:f>ABS(K83-L83)</x:f>
        <x:v>14</x:v>
      </x:c>
    </x:row>
    <x:row r="84">
      <x:c r="A84" t="n">
        <x:v>83</x:v>
      </x:c>
      <x:c r="B84" t="n">
        <x:v>157</x:v>
      </x:c>
      <x:c r="C84" t="inlineStr">
        <x:is>
          <x:t xml:space="preserve">BaNa(B3O5)3</x:t>
        </x:is>
      </x:c>
      <x:c r="D84" t="n">
        <x:v>2</x:v>
      </x:c>
      <x:c r="E84" t="n">
        <x:v>261</x:v>
      </x:c>
      <x:c r="F84" t="inlineStr">
        <x:is>
          <x:t xml:space="preserve">NaCaPO4</x:t>
        </x:is>
      </x:c>
      <x:c r="G84" t="n">
        <x:v>4</x:v>
      </x:c>
      <x:c r="H84" t="b">
        <x:v>0</x:v>
      </x:c>
      <x:c r="I84" t="n">
        <x:v>2.212200293110382</x:v>
      </x:c>
      <x:c r="J84" t="n">
        <x:v>0.7990388556513949</x:v>
      </x:c>
      <x:c r="K84" s="37" t="n">
        <x:f>VLOOKUP(C84,FWHM_Reference!$A$2:$B$16,2,FALSE)</x:f>
        <x:v>61</x:v>
      </x:c>
      <x:c r="L84" s="32" t="n">
        <x:f>VLOOKUP(F84,FWHM_Reference!$A$2:$B$16,2,FALSE)</x:f>
        <x:v>65</x:v>
      </x:c>
      <x:c r="M84" s="38" t="n">
        <x:f>ABS(K84-L84)</x:f>
        <x:v>4</x:v>
      </x:c>
    </x:row>
    <x:row r="85">
      <x:c r="A85" t="n">
        <x:v>84</x:v>
      </x:c>
      <x:c r="B85" t="n">
        <x:v>17</x:v>
      </x:c>
      <x:c r="C85" t="inlineStr">
        <x:is>
          <x:t xml:space="preserve">SrAl2O4</x:t>
        </x:is>
      </x:c>
      <x:c r="D85" t="n">
        <x:v>2</x:v>
      </x:c>
      <x:c r="E85" t="n">
        <x:v>171</x:v>
      </x:c>
      <x:c r="F85" t="inlineStr">
        <x:is>
          <x:t xml:space="preserve">BaLi2SiO4</x:t>
        </x:is>
      </x:c>
      <x:c r="G85" t="n">
        <x:v>4</x:v>
      </x:c>
      <x:c r="H85" t="b">
        <x:v>0</x:v>
      </x:c>
      <x:c r="I85" t="n">
        <x:v>2.252628632560807</x:v>
      </x:c>
      <x:c r="J85" t="n">
        <x:v>0.8136414276657642</x:v>
      </x:c>
      <x:c r="K85" s="37" t="n">
        <x:f>VLOOKUP(C85,FWHM_Reference!$A$2:$B$16,2,FALSE)</x:f>
        <x:v>77</x:v>
      </x:c>
      <x:c r="L85" s="32" t="n">
        <x:f>VLOOKUP(F85,FWHM_Reference!$A$2:$B$16,2,FALSE)</x:f>
        <x:v>61</x:v>
      </x:c>
      <x:c r="M85" s="38" t="n">
        <x:f>ABS(K85-L85)</x:f>
        <x:v>16</x:v>
      </x:c>
    </x:row>
    <x:row r="86">
      <x:c r="A86" t="n">
        <x:v>85</x:v>
      </x:c>
      <x:c r="B86" t="n">
        <x:v>14</x:v>
      </x:c>
      <x:c r="C86" t="inlineStr">
        <x:is>
          <x:t xml:space="preserve">K2RbNaLi12(SiO4)4</x:t>
        </x:is>
      </x:c>
      <x:c r="D86" t="n">
        <x:v>4</x:v>
      </x:c>
      <x:c r="E86" t="n">
        <x:v>157</x:v>
      </x:c>
      <x:c r="F86" t="inlineStr">
        <x:is>
          <x:t xml:space="preserve">BaNa(B3O5)3</x:t>
        </x:is>
      </x:c>
      <x:c r="G86" t="n">
        <x:v>2</x:v>
      </x:c>
      <x:c r="H86" t="b">
        <x:v>0</x:v>
      </x:c>
      <x:c r="I86" t="n">
        <x:v>2.266019610601904</x:v>
      </x:c>
      <x:c r="J86" t="n">
        <x:v>0.8184782011728171</x:v>
      </x:c>
      <x:c r="K86" s="37" t="n">
        <x:f>VLOOKUP(C86,FWHM_Reference!$A$2:$B$16,2,FALSE)</x:f>
        <x:v>51</x:v>
      </x:c>
      <x:c r="L86" s="32" t="n">
        <x:f>VLOOKUP(F86,FWHM_Reference!$A$2:$B$16,2,FALSE)</x:f>
        <x:v>61</x:v>
      </x:c>
      <x:c r="M86" s="38" t="n">
        <x:f>ABS(K86-L86)</x:f>
        <x:v>10</x:v>
      </x:c>
    </x:row>
    <x:row r="87">
      <x:c r="A87" t="n">
        <x:v>86</x:v>
      </x:c>
      <x:c r="B87" t="n">
        <x:v>157</x:v>
      </x:c>
      <x:c r="C87" t="inlineStr">
        <x:is>
          <x:t xml:space="preserve">BaNa(B3O5)3</x:t>
        </x:is>
      </x:c>
      <x:c r="D87" t="n">
        <x:v>2</x:v>
      </x:c>
      <x:c r="E87" t="n">
        <x:v>283</x:v>
      </x:c>
      <x:c r="F87" t="inlineStr">
        <x:is>
          <x:t xml:space="preserve">RbLi7(SiO4)2</x:t>
        </x:is>
      </x:c>
      <x:c r="G87" t="n">
        <x:v>4</x:v>
      </x:c>
      <x:c r="H87" t="b">
        <x:v>0</x:v>
      </x:c>
      <x:c r="I87" t="n">
        <x:v>2.288092301461956</x:v>
      </x:c>
      <x:c r="J87" t="n">
        <x:v>0.8264507783851477</x:v>
      </x:c>
      <x:c r="K87" s="37" t="n">
        <x:f>VLOOKUP(C87,FWHM_Reference!$A$2:$B$16,2,FALSE)</x:f>
        <x:v>61</x:v>
      </x:c>
      <x:c r="L87" s="32" t="n">
        <x:f>VLOOKUP(F87,FWHM_Reference!$A$2:$B$16,2,FALSE)</x:f>
        <x:v>42</x:v>
      </x:c>
      <x:c r="M87" s="38" t="n">
        <x:f>ABS(K87-L87)</x:f>
        <x:v>19</x:v>
      </x:c>
    </x:row>
    <x:row r="88">
      <x:c r="A88" t="n">
        <x:v>87</x:v>
      </x:c>
      <x:c r="B88" t="n">
        <x:v>95</x:v>
      </x:c>
      <x:c r="C88" t="inlineStr">
        <x:is>
          <x:t xml:space="preserve">Na3YSi2O7</x:t>
        </x:is>
      </x:c>
      <x:c r="D88" t="n">
        <x:v>4</x:v>
      </x:c>
      <x:c r="E88" t="n">
        <x:v>144</x:v>
      </x:c>
      <x:c r="F88" t="inlineStr">
        <x:is>
          <x:t xml:space="preserve">Ba2Mg(PO4)2</x:t>
        </x:is>
      </x:c>
      <x:c r="G88" t="n">
        <x:v>2</x:v>
      </x:c>
      <x:c r="H88" t="b">
        <x:v>0</x:v>
      </x:c>
      <x:c r="I88" t="n">
        <x:v>2.288101685557498</x:v>
      </x:c>
      <x:c r="J88" t="n">
        <x:v>0.8264541678869877</x:v>
      </x:c>
      <x:c r="K88" s="37" t="n">
        <x:f>VLOOKUP(C88,FWHM_Reference!$A$2:$B$16,2,FALSE)</x:f>
        <x:v>105</x:v>
      </x:c>
      <x:c r="L88" s="32" t="n">
        <x:f>VLOOKUP(F88,FWHM_Reference!$A$2:$B$16,2,FALSE)</x:f>
        <x:v>120</x:v>
      </x:c>
      <x:c r="M88" s="38" t="n">
        <x:f>ABS(K88-L88)</x:f>
        <x:v>15</x:v>
      </x:c>
    </x:row>
    <x:row r="89">
      <x:c r="A89" t="n">
        <x:v>88</x:v>
      </x:c>
      <x:c r="B89" t="n">
        <x:v>144</x:v>
      </x:c>
      <x:c r="C89" t="inlineStr">
        <x:is>
          <x:t xml:space="preserve">Ba2Mg(PO4)2</x:t>
        </x:is>
      </x:c>
      <x:c r="D89" t="n">
        <x:v>2</x:v>
      </x:c>
      <x:c r="E89" t="n">
        <x:v>157</x:v>
      </x:c>
      <x:c r="F89" t="inlineStr">
        <x:is>
          <x:t xml:space="preserve">BaNa(B3O5)3</x:t>
        </x:is>
      </x:c>
      <x:c r="G89" t="n">
        <x:v>2</x:v>
      </x:c>
      <x:c r="H89" t="b">
        <x:v>1</x:v>
      </x:c>
      <x:c r="I89" t="n">
        <x:v>2.29924450302617</x:v>
      </x:c>
      <x:c r="J89" t="n">
        <x:v>0.8304789138137597</x:v>
      </x:c>
      <x:c r="K89" s="37" t="n">
        <x:f>VLOOKUP(C89,FWHM_Reference!$A$2:$B$16,2,FALSE)</x:f>
        <x:v>120</x:v>
      </x:c>
      <x:c r="L89" s="32" t="n">
        <x:f>VLOOKUP(F89,FWHM_Reference!$A$2:$B$16,2,FALSE)</x:f>
        <x:v>61</x:v>
      </x:c>
      <x:c r="M89" s="38" t="n">
        <x:f>ABS(K89-L89)</x:f>
        <x:v>59</x:v>
      </x:c>
    </x:row>
    <x:row r="90">
      <x:c r="A90" t="n">
        <x:v>89</x:v>
      </x:c>
      <x:c r="B90" t="n">
        <x:v>95</x:v>
      </x:c>
      <x:c r="C90" t="inlineStr">
        <x:is>
          <x:t xml:space="preserve">Na3YSi2O7</x:t>
        </x:is>
      </x:c>
      <x:c r="D90" t="n">
        <x:v>4</x:v>
      </x:c>
      <x:c r="E90" t="n">
        <x:v>142</x:v>
      </x:c>
      <x:c r="F90" t="inlineStr">
        <x:is>
          <x:t xml:space="preserve">Ba2Ca(BO3)2</x:t>
        </x:is>
      </x:c>
      <x:c r="G90" t="n">
        <x:v>2</x:v>
      </x:c>
      <x:c r="H90" t="b">
        <x:v>0</x:v>
      </x:c>
      <x:c r="I90" t="n">
        <x:v>2.320530715751254</x:v>
      </x:c>
      <x:c r="J90" t="n">
        <x:v>0.8381674179288592</x:v>
      </x:c>
      <x:c r="K90" s="37" t="n">
        <x:f>VLOOKUP(C90,FWHM_Reference!$A$2:$B$16,2,FALSE)</x:f>
        <x:v>105</x:v>
      </x:c>
      <x:c r="L90" s="32" t="n">
        <x:f>VLOOKUP(F90,FWHM_Reference!$A$2:$B$16,2,FALSE)</x:f>
        <x:v>75</x:v>
      </x:c>
      <x:c r="M90" s="38" t="n">
        <x:f>ABS(K90-L90)</x:f>
        <x:v>30</x:v>
      </x:c>
    </x:row>
    <x:row r="91">
      <x:c r="A91" t="n">
        <x:v>90</x:v>
      </x:c>
      <x:c r="B91" t="n">
        <x:v>157</x:v>
      </x:c>
      <x:c r="C91" t="inlineStr">
        <x:is>
          <x:t xml:space="preserve">BaNa(B3O5)3</x:t>
        </x:is>
      </x:c>
      <x:c r="D91" t="n">
        <x:v>2</x:v>
      </x:c>
      <x:c r="E91" t="n">
        <x:v>199</x:v>
      </x:c>
      <x:c r="F91" t="inlineStr">
        <x:is>
          <x:t xml:space="preserve">Cs2BaP2O7</x:t>
        </x:is>
      </x:c>
      <x:c r="G91" t="n">
        <x:v>4</x:v>
      </x:c>
      <x:c r="H91" t="b">
        <x:v>0</x:v>
      </x:c>
      <x:c r="I91" t="n">
        <x:v>2.326828376766456</x:v>
      </x:c>
      <x:c r="J91" t="n">
        <x:v>0.8404421106257812</x:v>
      </x:c>
      <x:c r="K91" s="37" t="n">
        <x:f>VLOOKUP(C91,FWHM_Reference!$A$2:$B$16,2,FALSE)</x:f>
        <x:v>61</x:v>
      </x:c>
      <x:c r="L91" s="32" t="n">
        <x:f>VLOOKUP(F91,FWHM_Reference!$A$2:$B$16,2,FALSE)</x:f>
        <x:v>100</x:v>
      </x:c>
      <x:c r="M91" s="38" t="n">
        <x:f>ABS(K91-L91)</x:f>
        <x:v>39</x:v>
      </x:c>
    </x:row>
    <x:row r="92">
      <x:c r="A92" t="n">
        <x:v>91</x:v>
      </x:c>
      <x:c r="B92" t="n">
        <x:v>171</x:v>
      </x:c>
      <x:c r="C92" t="inlineStr">
        <x:is>
          <x:t xml:space="preserve">BaLi2SiO4</x:t>
        </x:is>
      </x:c>
      <x:c r="D92" t="n">
        <x:v>4</x:v>
      </x:c>
      <x:c r="E92" t="n">
        <x:v>180</x:v>
      </x:c>
      <x:c r="F92" t="inlineStr">
        <x:is>
          <x:t xml:space="preserve">Ba6Y2Al4O15</x:t>
        </x:is>
      </x:c>
      <x:c r="G92" t="n">
        <x:v>2</x:v>
      </x:c>
      <x:c r="H92" t="b">
        <x:v>0</x:v>
      </x:c>
      <x:c r="I92" t="n">
        <x:v>2.35650299213911</x:v>
      </x:c>
      <x:c r="J92" t="n">
        <x:v>0.8511604758583989</x:v>
      </x:c>
      <x:c r="K92" s="37" t="n">
        <x:f>VLOOKUP(C92,FWHM_Reference!$A$2:$B$16,2,FALSE)</x:f>
        <x:v>61</x:v>
      </x:c>
      <x:c r="L92" s="32" t="n">
        <x:f>VLOOKUP(F92,FWHM_Reference!$A$2:$B$16,2,FALSE)</x:f>
        <x:v>69</x:v>
      </x:c>
      <x:c r="M92" s="38" t="n">
        <x:f>ABS(K92-L92)</x:f>
        <x:v>8</x:v>
      </x:c>
    </x:row>
    <x:row r="93">
      <x:c r="A93" t="n">
        <x:v>92</x:v>
      </x:c>
      <x:c r="B93" t="n">
        <x:v>14</x:v>
      </x:c>
      <x:c r="C93" t="inlineStr">
        <x:is>
          <x:t xml:space="preserve">K2RbNaLi12(SiO4)4</x:t>
        </x:is>
      </x:c>
      <x:c r="D93" t="n">
        <x:v>4</x:v>
      </x:c>
      <x:c r="E93" t="n">
        <x:v>17</x:v>
      </x:c>
      <x:c r="F93" t="inlineStr">
        <x:is>
          <x:t xml:space="preserve">SrAl2O4</x:t>
        </x:is>
      </x:c>
      <x:c r="G93" t="n">
        <x:v>2</x:v>
      </x:c>
      <x:c r="H93" t="b">
        <x:v>0</x:v>
      </x:c>
      <x:c r="I93" t="n">
        <x:v>2.365882994924128</x:v>
      </x:c>
      <x:c r="J93" t="n">
        <x:v>0.8545484994088384</x:v>
      </x:c>
      <x:c r="K93" s="37" t="n">
        <x:f>VLOOKUP(C93,FWHM_Reference!$A$2:$B$16,2,FALSE)</x:f>
        <x:v>51</x:v>
      </x:c>
      <x:c r="L93" s="32" t="n">
        <x:f>VLOOKUP(F93,FWHM_Reference!$A$2:$B$16,2,FALSE)</x:f>
        <x:v>77</x:v>
      </x:c>
      <x:c r="M93" s="38" t="n">
        <x:f>ABS(K93-L93)</x:f>
        <x:v>26</x:v>
      </x:c>
    </x:row>
    <x:row r="94">
      <x:c r="A94" t="n">
        <x:v>93</x:v>
      </x:c>
      <x:c r="B94" t="n">
        <x:v>144</x:v>
      </x:c>
      <x:c r="C94" t="inlineStr">
        <x:is>
          <x:t xml:space="preserve">Ba2Mg(PO4)2</x:t>
        </x:is>
      </x:c>
      <x:c r="D94" t="n">
        <x:v>2</x:v>
      </x:c>
      <x:c r="E94" t="n">
        <x:v>171</x:v>
      </x:c>
      <x:c r="F94" t="inlineStr">
        <x:is>
          <x:t xml:space="preserve">BaLi2SiO4</x:t>
        </x:is>
      </x:c>
      <x:c r="G94" t="n">
        <x:v>4</x:v>
      </x:c>
      <x:c r="H94" t="b">
        <x:v>0</x:v>
      </x:c>
      <x:c r="I94" t="n">
        <x:v>2.372486982184242</x:v>
      </x:c>
      <x:c r="J94" t="n">
        <x:v>0.8569338360528539</x:v>
      </x:c>
      <x:c r="K94" s="37" t="n">
        <x:f>VLOOKUP(C94,FWHM_Reference!$A$2:$B$16,2,FALSE)</x:f>
        <x:v>120</x:v>
      </x:c>
      <x:c r="L94" s="32" t="n">
        <x:f>VLOOKUP(F94,FWHM_Reference!$A$2:$B$16,2,FALSE)</x:f>
        <x:v>61</x:v>
      </x:c>
      <x:c r="M94" s="38" t="n">
        <x:f>ABS(K94-L94)</x:f>
        <x:v>59</x:v>
      </x:c>
    </x:row>
    <x:row r="95">
      <x:c r="A95" t="n">
        <x:v>94</x:v>
      </x:c>
      <x:c r="B95" t="n">
        <x:v>17</x:v>
      </x:c>
      <x:c r="C95" t="inlineStr">
        <x:is>
          <x:t xml:space="preserve">SrAl2O4</x:t>
        </x:is>
      </x:c>
      <x:c r="D95" t="n">
        <x:v>2</x:v>
      </x:c>
      <x:c r="E95" t="n">
        <x:v>283</x:v>
      </x:c>
      <x:c r="F95" t="inlineStr">
        <x:is>
          <x:t xml:space="preserve">RbLi7(SiO4)2</x:t>
        </x:is>
      </x:c>
      <x:c r="G95" t="n">
        <x:v>4</x:v>
      </x:c>
      <x:c r="H95" t="b">
        <x:v>0</x:v>
      </x:c>
      <x:c r="I95" t="n">
        <x:v>2.379820070802318</x:v>
      </x:c>
      <x:c r="J95" t="n">
        <x:v>0.8595825215068909</x:v>
      </x:c>
      <x:c r="K95" s="37" t="n">
        <x:f>VLOOKUP(C95,FWHM_Reference!$A$2:$B$16,2,FALSE)</x:f>
        <x:v>77</x:v>
      </x:c>
      <x:c r="L95" s="32" t="n">
        <x:f>VLOOKUP(F95,FWHM_Reference!$A$2:$B$16,2,FALSE)</x:f>
        <x:v>42</x:v>
      </x:c>
      <x:c r="M95" s="38" t="n">
        <x:f>ABS(K95-L95)</x:f>
        <x:v>35</x:v>
      </x:c>
    </x:row>
    <x:row r="96">
      <x:c r="A96" t="n">
        <x:v>95</x:v>
      </x:c>
      <x:c r="B96" t="n">
        <x:v>142</x:v>
      </x:c>
      <x:c r="C96" t="inlineStr">
        <x:is>
          <x:t xml:space="preserve">Ba2Ca(BO3)2</x:t>
        </x:is>
      </x:c>
      <x:c r="D96" t="n">
        <x:v>2</x:v>
      </x:c>
      <x:c r="E96" t="n">
        <x:v>283</x:v>
      </x:c>
      <x:c r="F96" t="inlineStr">
        <x:is>
          <x:t xml:space="preserve">RbLi7(SiO4)2</x:t>
        </x:is>
      </x:c>
      <x:c r="G96" t="n">
        <x:v>4</x:v>
      </x:c>
      <x:c r="H96" t="b">
        <x:v>0</x:v>
      </x:c>
      <x:c r="I96" t="n">
        <x:v>2.386193617766047</x:v>
      </x:c>
      <x:c r="J96" t="n">
        <x:v>0.86188462393776</x:v>
      </x:c>
      <x:c r="K96" s="37" t="n">
        <x:f>VLOOKUP(C96,FWHM_Reference!$A$2:$B$16,2,FALSE)</x:f>
        <x:v>75</x:v>
      </x:c>
      <x:c r="L96" s="32" t="n">
        <x:f>VLOOKUP(F96,FWHM_Reference!$A$2:$B$16,2,FALSE)</x:f>
        <x:v>42</x:v>
      </x:c>
      <x:c r="M96" s="38" t="n">
        <x:f>ABS(K96-L96)</x:f>
        <x:v>33</x:v>
      </x:c>
    </x:row>
    <x:row r="97">
      <x:c r="A97" t="n">
        <x:v>96</x:v>
      </x:c>
      <x:c r="B97" t="n">
        <x:v>111</x:v>
      </x:c>
      <x:c r="C97" t="inlineStr">
        <x:is>
          <x:t xml:space="preserve">Ba2MgSi2O7</x:t>
        </x:is>
      </x:c>
      <x:c r="D97" t="n">
        <x:v>2</x:v>
      </x:c>
      <x:c r="E97" t="n">
        <x:v>283</x:v>
      </x:c>
      <x:c r="F97" t="inlineStr">
        <x:is>
          <x:t xml:space="preserve">RbLi7(SiO4)2</x:t>
        </x:is>
      </x:c>
      <x:c r="G97" t="n">
        <x:v>4</x:v>
      </x:c>
      <x:c r="H97" t="b">
        <x:v>0</x:v>
      </x:c>
      <x:c r="I97" t="n">
        <x:v>2.389951799686097</x:v>
      </x:c>
      <x:c r="J97" t="n">
        <x:v>0.8632420658430335</x:v>
      </x:c>
      <x:c r="K97" s="37" t="n">
        <x:f>VLOOKUP(C97,FWHM_Reference!$A$2:$B$16,2,FALSE)</x:f>
        <x:v>75</x:v>
      </x:c>
      <x:c r="L97" s="32" t="n">
        <x:f>VLOOKUP(F97,FWHM_Reference!$A$2:$B$16,2,FALSE)</x:f>
        <x:v>42</x:v>
      </x:c>
      <x:c r="M97" s="38" t="n">
        <x:f>ABS(K97-L97)</x:f>
        <x:v>33</x:v>
      </x:c>
    </x:row>
    <x:row r="98">
      <x:c r="A98" t="n">
        <x:v>97</x:v>
      </x:c>
      <x:c r="B98" t="n">
        <x:v>14</x:v>
      </x:c>
      <x:c r="C98" t="inlineStr">
        <x:is>
          <x:t xml:space="preserve">K2RbNaLi12(SiO4)4</x:t>
        </x:is>
      </x:c>
      <x:c r="D98" t="n">
        <x:v>4</x:v>
      </x:c>
      <x:c r="E98" t="n">
        <x:v>111</x:v>
      </x:c>
      <x:c r="F98" t="inlineStr">
        <x:is>
          <x:t xml:space="preserve">Ba2MgSi2O7</x:t>
        </x:is>
      </x:c>
      <x:c r="G98" t="n">
        <x:v>2</x:v>
      </x:c>
      <x:c r="H98" t="b">
        <x:v>0</x:v>
      </x:c>
      <x:c r="I98" t="n">
        <x:v>2.435059090216205</x:v>
      </x:c>
      <x:c r="J98" t="n">
        <x:v>0.8795346582990431</x:v>
      </x:c>
      <x:c r="K98" s="37" t="n">
        <x:f>VLOOKUP(C98,FWHM_Reference!$A$2:$B$16,2,FALSE)</x:f>
        <x:v>51</x:v>
      </x:c>
      <x:c r="L98" s="32" t="n">
        <x:f>VLOOKUP(F98,FWHM_Reference!$A$2:$B$16,2,FALSE)</x:f>
        <x:v>75</x:v>
      </x:c>
      <x:c r="M98" s="38" t="n">
        <x:f>ABS(K98-L98)</x:f>
        <x:v>24</x:v>
      </x:c>
    </x:row>
    <x:row r="99">
      <x:c r="A99" t="n">
        <x:v>98</x:v>
      </x:c>
      <x:c r="B99" t="n">
        <x:v>157</x:v>
      </x:c>
      <x:c r="C99" t="inlineStr">
        <x:is>
          <x:t xml:space="preserve">BaNa(B3O5)3</x:t>
        </x:is>
      </x:c>
      <x:c r="D99" t="n">
        <x:v>2</x:v>
      </x:c>
      <x:c r="E99" t="n">
        <x:v>180</x:v>
      </x:c>
      <x:c r="F99" t="inlineStr">
        <x:is>
          <x:t xml:space="preserve">Ba6Y2Al4O15</x:t>
        </x:is>
      </x:c>
      <x:c r="G99" t="n">
        <x:v>2</x:v>
      </x:c>
      <x:c r="H99" t="b">
        <x:v>1</x:v>
      </x:c>
      <x:c r="I99" t="n">
        <x:v>2.449891311255747</x:v>
      </x:c>
      <x:c r="J99" t="n">
        <x:v>0.8848920036366758</x:v>
      </x:c>
      <x:c r="K99" s="37" t="n">
        <x:f>VLOOKUP(C99,FWHM_Reference!$A$2:$B$16,2,FALSE)</x:f>
        <x:v>61</x:v>
      </x:c>
      <x:c r="L99" s="32" t="n">
        <x:f>VLOOKUP(F99,FWHM_Reference!$A$2:$B$16,2,FALSE)</x:f>
        <x:v>69</x:v>
      </x:c>
      <x:c r="M99" s="38" t="n">
        <x:f>ABS(K99-L99)</x:f>
        <x:v>8</x:v>
      </x:c>
    </x:row>
    <x:row r="100">
      <x:c r="A100" t="n">
        <x:v>99</x:v>
      </x:c>
      <x:c r="B100" t="n">
        <x:v>14</x:v>
      </x:c>
      <x:c r="C100" t="inlineStr">
        <x:is>
          <x:t xml:space="preserve">K2RbNaLi12(SiO4)4</x:t>
        </x:is>
      </x:c>
      <x:c r="D100" t="n">
        <x:v>4</x:v>
      </x:c>
      <x:c r="E100" t="n">
        <x:v>142</x:v>
      </x:c>
      <x:c r="F100" t="inlineStr">
        <x:is>
          <x:t xml:space="preserve">Ba2Ca(BO3)2</x:t>
        </x:is>
      </x:c>
      <x:c r="G100" t="n">
        <x:v>2</x:v>
      </x:c>
      <x:c r="H100" t="b">
        <x:v>0</x:v>
      </x:c>
      <x:c r="I100" t="n">
        <x:v>2.453241451362188</x:v>
      </x:c>
      <x:c r="J100" t="n">
        <x:v>0.8861020622942298</x:v>
      </x:c>
      <x:c r="K100" s="37" t="n">
        <x:f>VLOOKUP(C100,FWHM_Reference!$A$2:$B$16,2,FALSE)</x:f>
        <x:v>51</x:v>
      </x:c>
      <x:c r="L100" s="32" t="n">
        <x:f>VLOOKUP(F100,FWHM_Reference!$A$2:$B$16,2,FALSE)</x:f>
        <x:v>75</x:v>
      </x:c>
      <x:c r="M100" s="38" t="n">
        <x:f>ABS(K100-L100)</x:f>
        <x:v>24</x:v>
      </x:c>
    </x:row>
    <x:row r="101">
      <x:c r="A101" t="n">
        <x:v>100</x:v>
      </x:c>
      <x:c r="B101" t="n">
        <x:v>14</x:v>
      </x:c>
      <x:c r="C101" t="inlineStr">
        <x:is>
          <x:t xml:space="preserve">K2RbNaLi12(SiO4)4</x:t>
        </x:is>
      </x:c>
      <x:c r="D101" t="n">
        <x:v>4</x:v>
      </x:c>
      <x:c r="E101" t="n">
        <x:v>153</x:v>
      </x:c>
      <x:c r="F101" t="inlineStr">
        <x:is>
          <x:t xml:space="preserve">Ba3Si6(NO6)2</x:t>
        </x:is>
      </x:c>
      <x:c r="G101" t="n">
        <x:v>2</x:v>
      </x:c>
      <x:c r="H101" t="b">
        <x:v>0</x:v>
      </x:c>
      <x:c r="I101" t="n">
        <x:v>2.468904803846959</x:v>
      </x:c>
      <x:c r="J101" t="n">
        <x:v>0.8917596093454957</x:v>
      </x:c>
      <x:c r="K101" s="37" t="n">
        <x:f>VLOOKUP(C101,FWHM_Reference!$A$2:$B$16,2,FALSE)</x:f>
        <x:v>51</x:v>
      </x:c>
      <x:c r="L101" s="32" t="n">
        <x:f>VLOOKUP(F101,FWHM_Reference!$A$2:$B$16,2,FALSE)</x:f>
        <x:v>68</x:v>
      </x:c>
      <x:c r="M101" s="38" t="n">
        <x:f>ABS(K101-L101)</x:f>
        <x:v>17</x:v>
      </x:c>
    </x:row>
    <x:row r="102">
      <x:c r="A102" t="n">
        <x:v>101</x:v>
      </x:c>
      <x:c r="B102" t="n">
        <x:v>144</x:v>
      </x:c>
      <x:c r="C102" t="inlineStr">
        <x:is>
          <x:t xml:space="preserve">Ba2Mg(PO4)2</x:t>
        </x:is>
      </x:c>
      <x:c r="D102" t="n">
        <x:v>2</x:v>
      </x:c>
      <x:c r="E102" t="n">
        <x:v>283</x:v>
      </x:c>
      <x:c r="F102" t="inlineStr">
        <x:is>
          <x:t xml:space="preserve">RbLi7(SiO4)2</x:t>
        </x:is>
      </x:c>
      <x:c r="G102" t="n">
        <x:v>4</x:v>
      </x:c>
      <x:c r="H102" t="b">
        <x:v>0</x:v>
      </x:c>
      <x:c r="I102" t="n">
        <x:v>2.517352863367435</x:v>
      </x:c>
      <x:c r="J102" t="n">
        <x:v>0.9092588756453579</x:v>
      </x:c>
      <x:c r="K102" s="37" t="n">
        <x:f>VLOOKUP(C102,FWHM_Reference!$A$2:$B$16,2,FALSE)</x:f>
        <x:v>120</x:v>
      </x:c>
      <x:c r="L102" s="32" t="n">
        <x:f>VLOOKUP(F102,FWHM_Reference!$A$2:$B$16,2,FALSE)</x:f>
        <x:v>42</x:v>
      </x:c>
      <x:c r="M102" s="38" t="n">
        <x:f>ABS(K102-L102)</x:f>
        <x:v>78</x:v>
      </x:c>
    </x:row>
    <x:row r="103">
      <x:c r="A103" t="n">
        <x:v>102</x:v>
      </x:c>
      <x:c r="B103" t="n">
        <x:v>14</x:v>
      </x:c>
      <x:c r="C103" t="inlineStr">
        <x:is>
          <x:t xml:space="preserve">K2RbNaLi12(SiO4)4</x:t>
        </x:is>
      </x:c>
      <x:c r="D103" t="n">
        <x:v>4</x:v>
      </x:c>
      <x:c r="E103" t="n">
        <x:v>180</x:v>
      </x:c>
      <x:c r="F103" t="inlineStr">
        <x:is>
          <x:t xml:space="preserve">Ba6Y2Al4O15</x:t>
        </x:is>
      </x:c>
      <x:c r="G103" t="n">
        <x:v>2</x:v>
      </x:c>
      <x:c r="H103" t="b">
        <x:v>0</x:v>
      </x:c>
      <x:c r="I103" t="n">
        <x:v>2.541435928326184</x:v>
      </x:c>
      <x:c r="J103" t="n">
        <x:v>0.9179575928117681</x:v>
      </x:c>
      <x:c r="K103" s="37" t="n">
        <x:f>VLOOKUP(C103,FWHM_Reference!$A$2:$B$16,2,FALSE)</x:f>
        <x:v>51</x:v>
      </x:c>
      <x:c r="L103" s="32" t="n">
        <x:f>VLOOKUP(F103,FWHM_Reference!$A$2:$B$16,2,FALSE)</x:f>
        <x:v>69</x:v>
      </x:c>
      <x:c r="M103" s="38" t="n">
        <x:f>ABS(K103-L103)</x:f>
        <x:v>18</x:v>
      </x:c>
    </x:row>
    <x:row r="104">
      <x:c r="A104" t="n">
        <x:v>103</x:v>
      </x:c>
      <x:c r="B104" t="n">
        <x:v>180</x:v>
      </x:c>
      <x:c r="C104" t="inlineStr">
        <x:is>
          <x:t xml:space="preserve">Ba6Y2Al4O15</x:t>
        </x:is>
      </x:c>
      <x:c r="D104" t="n">
        <x:v>2</x:v>
      </x:c>
      <x:c r="E104" t="n">
        <x:v>283</x:v>
      </x:c>
      <x:c r="F104" t="inlineStr">
        <x:is>
          <x:t xml:space="preserve">RbLi7(SiO4)2</x:t>
        </x:is>
      </x:c>
      <x:c r="G104" t="n">
        <x:v>4</x:v>
      </x:c>
      <x:c r="H104" t="b">
        <x:v>0</x:v>
      </x:c>
      <x:c r="I104" t="n">
        <x:v>2.601139690723432</x:v>
      </x:c>
      <x:c r="J104" t="n">
        <x:v>0.9395223788451815</x:v>
      </x:c>
      <x:c r="K104" s="37" t="n">
        <x:f>VLOOKUP(C104,FWHM_Reference!$A$2:$B$16,2,FALSE)</x:f>
        <x:v>69</x:v>
      </x:c>
      <x:c r="L104" s="32" t="n">
        <x:f>VLOOKUP(F104,FWHM_Reference!$A$2:$B$16,2,FALSE)</x:f>
        <x:v>42</x:v>
      </x:c>
      <x:c r="M104" s="38" t="n">
        <x:f>ABS(K104-L104)</x:f>
        <x:v>27</x:v>
      </x:c>
    </x:row>
    <x:row r="105">
      <x:c r="A105" t="n">
        <x:v>104</x:v>
      </x:c>
      <x:c r="B105" t="n">
        <x:v>14</x:v>
      </x:c>
      <x:c r="C105" t="inlineStr">
        <x:is>
          <x:t xml:space="preserve">K2RbNaLi12(SiO4)4</x:t>
        </x:is>
      </x:c>
      <x:c r="D105" t="n">
        <x:v>4</x:v>
      </x:c>
      <x:c r="E105" t="n">
        <x:v>144</x:v>
      </x:c>
      <x:c r="F105" t="inlineStr">
        <x:is>
          <x:t xml:space="preserve">Ba2Mg(PO4)2</x:t>
        </x:is>
      </x:c>
      <x:c r="G105" t="n">
        <x:v>2</x:v>
      </x:c>
      <x:c r="H105" t="b">
        <x:v>0</x:v>
      </x:c>
      <x:c r="I105" t="n">
        <x:v>2.679489223359357</x:v>
      </x:c>
      <x:c r="J105" t="n">
        <x:v>0.967821950585229</x:v>
      </x:c>
      <x:c r="K105" s="37" t="n">
        <x:f>VLOOKUP(C105,FWHM_Reference!$A$2:$B$16,2,FALSE)</x:f>
        <x:v>51</x:v>
      </x:c>
      <x:c r="L105" s="32" t="n">
        <x:f>VLOOKUP(F105,FWHM_Reference!$A$2:$B$16,2,FALSE)</x:f>
        <x:v>120</x:v>
      </x:c>
      <x:c r="M105" s="38" t="n">
        <x:f>ABS(K105-L105)</x:f>
        <x:v>69</x:v>
      </x:c>
    </x:row>
    <x:row r="106">
      <x:c r="A106" t="n">
        <x:v>105</x:v>
      </x:c>
      <x:c r="B106" t="n">
        <x:v>153</x:v>
      </x:c>
      <x:c r="C106" t="inlineStr">
        <x:is>
          <x:t xml:space="preserve">Ba3Si6(NO6)2</x:t>
        </x:is>
      </x:c>
      <x:c r="D106" t="n">
        <x:v>2</x:v>
      </x:c>
      <x:c r="E106" t="n">
        <x:v>283</x:v>
      </x:c>
      <x:c r="F106" t="inlineStr">
        <x:is>
          <x:t xml:space="preserve">RbLi7(SiO4)2</x:t>
        </x:is>
      </x:c>
      <x:c r="G106" t="n">
        <x:v>4</x:v>
      </x:c>
      <x:c r="H106" t="b">
        <x:v>0</x:v>
      </x:c>
      <x:c r="I106" t="n">
        <x:v>2.768576618601289</x:v>
      </x:c>
      <x:c r="J106" t="n">
        <x:v>1</x:v>
      </x:c>
      <x:c r="K106" s="39" t="n">
        <x:f>VLOOKUP(C106,FWHM_Reference!$A$2:$B$16,2,FALSE)</x:f>
        <x:v>68</x:v>
      </x:c>
      <x:c r="L106" s="40" t="n">
        <x:f>VLOOKUP(F106,FWHM_Reference!$A$2:$B$16,2,FALSE)</x:f>
        <x:v>42</x:v>
      </x:c>
      <x:c r="M106" s="41" t="n">
        <x:f>ABS(K106-L106)</x:f>
        <x:v>26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Number</x:t>
        </x:is>
      </x:c>
      <x:c r="B1" s="1" t="inlineStr">
        <x:is>
          <x:t xml:space="preserve">Composition</x:t>
        </x:is>
      </x:c>
      <x:c r="C1" s="1" t="inlineStr">
        <x:is>
          <x:t xml:space="preserve">Cluster</x:t>
        </x:is>
      </x:c>
      <x:c r="D1" s="1" t="inlineStr">
        <x:is>
          <x:t xml:space="preserve">PC1</x:t>
        </x:is>
      </x:c>
      <x:c r="E1" s="1" t="inlineStr">
        <x:is>
          <x:t xml:space="preserve">PC2</x:t>
        </x:is>
      </x:c>
      <x:c r="F1" s="1" t="inlineStr">
        <x:is>
          <x:t xml:space="preserve">PC3</x:t>
        </x:is>
      </x:c>
      <x:c r="G1" s="1" t="inlineStr">
        <x:is>
          <x:t xml:space="preserve">PC4</x:t>
        </x:is>
      </x:c>
      <x:c r="H1" s="1" t="inlineStr">
        <x:is>
          <x:t xml:space="preserve">PC5</x:t>
        </x:is>
      </x:c>
      <x:c r="I1" s="1" t="inlineStr">
        <x:is>
          <x:t xml:space="preserve">PC6</x:t>
        </x:is>
      </x:c>
      <x:c r="J1" s="1" t="inlineStr">
        <x:is>
          <x:t xml:space="preserve">PC7</x:t>
        </x:is>
      </x:c>
      <x:c r="K1" s="1" t="inlineStr">
        <x:is>
          <x:t xml:space="preserve">PC8</x:t>
        </x:is>
      </x:c>
      <x:c r="L1" s="1" t="inlineStr">
        <x:is>
          <x:t xml:space="preserve">PC9</x:t>
        </x:is>
      </x:c>
      <x:c r="M1" s="1" t="inlineStr">
        <x:is>
          <x:t xml:space="preserve">PC10</x:t>
        </x:is>
      </x:c>
    </x:row>
    <x:row r="2">
      <x:c r="A2" t="n">
        <x:v>14</x:v>
      </x:c>
      <x:c r="B2" t="inlineStr">
        <x:is>
          <x:t xml:space="preserve">K2RbNaLi12(SiO4)4</x:t>
        </x:is>
      </x:c>
      <x:c r="C2" t="n">
        <x:v>4</x:v>
      </x:c>
      <x:c r="D2" t="n">
        <x:v>1.365911055908247</x:v>
      </x:c>
      <x:c r="E2" t="n">
        <x:v>0.4377117706287606</x:v>
      </x:c>
      <x:c r="F2" t="n">
        <x:v>0.1376165614741406</x:v>
      </x:c>
      <x:c r="G2" t="n">
        <x:v>0.2780811019349547</x:v>
      </x:c>
      <x:c r="H2" t="n">
        <x:v>0.3226356001805955</x:v>
      </x:c>
      <x:c r="I2" t="n">
        <x:v>0.2228076372005674</x:v>
      </x:c>
      <x:c r="J2" t="n">
        <x:v>-0.1847504431677363</x:v>
      </x:c>
      <x:c r="K2" t="n">
        <x:v>-0.3358045993938201</x:v>
      </x:c>
      <x:c r="L2" t="n">
        <x:v>0.3684504376200729</x:v>
      </x:c>
      <x:c r="M2" t="n">
        <x:v>0.1959928664820905</x:v>
      </x:c>
    </x:row>
    <x:row r="3">
      <x:c r="A3" t="n">
        <x:v>15</x:v>
      </x:c>
      <x:c r="B3" t="inlineStr">
        <x:is>
          <x:t xml:space="preserve">Rb2ZrSi2O7</x:t>
        </x:is>
      </x:c>
      <x:c r="C3" t="n">
        <x:v>4</x:v>
      </x:c>
      <x:c r="D3" t="n">
        <x:v>0.4780894286392334</x:v>
      </x:c>
      <x:c r="E3" t="n">
        <x:v>0.1231157631963132</x:v>
      </x:c>
      <x:c r="F3" t="n">
        <x:v>0.4510605339058873</x:v>
      </x:c>
      <x:c r="G3" t="n">
        <x:v>-0.2319014017338071</x:v>
      </x:c>
      <x:c r="H3" t="n">
        <x:v>-0.1207776723834116</x:v>
      </x:c>
      <x:c r="I3" t="n">
        <x:v>-0.1453208797485396</x:v>
      </x:c>
      <x:c r="J3" t="n">
        <x:v>0.06392940104642945</x:v>
      </x:c>
      <x:c r="K3" t="n">
        <x:v>0.5783642903519114</x:v>
      </x:c>
      <x:c r="L3" t="n">
        <x:v>-0.107640464753502</x:v>
      </x:c>
      <x:c r="M3" t="n">
        <x:v>0.06318799160651586</x:v>
      </x:c>
    </x:row>
    <x:row r="4">
      <x:c r="A4" t="n">
        <x:v>16</x:v>
      </x:c>
      <x:c r="B4" t="inlineStr">
        <x:is>
          <x:t xml:space="preserve">Sr2LiSiO4F</x:t>
        </x:is>
      </x:c>
      <x:c r="C4" t="n">
        <x:v>4</x:v>
      </x:c>
      <x:c r="D4" t="n">
        <x:v>0.6573279680694906</x:v>
      </x:c>
      <x:c r="E4" t="n">
        <x:v>0.1311531527482408</x:v>
      </x:c>
      <x:c r="F4" t="n">
        <x:v>0.2810647312930387</x:v>
      </x:c>
      <x:c r="G4" t="n">
        <x:v>0.06495075931777931</x:v>
      </x:c>
      <x:c r="H4" t="n">
        <x:v>-0.06526783450071057</x:v>
      </x:c>
      <x:c r="I4" t="n">
        <x:v>-0.3031587648985766</x:v>
      </x:c>
      <x:c r="J4" t="n">
        <x:v>-0.4765781535453125</x:v>
      </x:c>
      <x:c r="K4" t="n">
        <x:v>-0.2261988050297102</x:v>
      </x:c>
      <x:c r="L4" t="n">
        <x:v>-0.1385493701464086</x:v>
      </x:c>
      <x:c r="M4" t="n">
        <x:v>-0.5237802850343052</x:v>
      </x:c>
    </x:row>
    <x:row r="5">
      <x:c r="A5" t="n">
        <x:v>17</x:v>
      </x:c>
      <x:c r="B5" t="inlineStr">
        <x:is>
          <x:t xml:space="preserve">SrAl2O4</x:t>
        </x:is>
      </x:c>
      <x:c r="C5" t="n">
        <x:v>2</x:v>
      </x:c>
      <x:c r="D5" t="n">
        <x:v>-0.7219958379717911</x:v>
      </x:c>
      <x:c r="E5" t="n">
        <x:v>0.3283311343335572</x:v>
      </x:c>
      <x:c r="F5" t="n">
        <x:v>0.04400841322928974</x:v>
      </x:c>
      <x:c r="G5" t="n">
        <x:v>0.1355723645343941</x:v>
      </x:c>
      <x:c r="H5" t="n">
        <x:v>-0.442156983745349</x:v>
      </x:c>
      <x:c r="I5" t="n">
        <x:v>-0.02939756148800305</x:v>
      </x:c>
      <x:c r="J5" t="n">
        <x:v>-0.163927063285151</x:v>
      </x:c>
      <x:c r="K5" t="n">
        <x:v>0.08272747773571426</x:v>
      </x:c>
      <x:c r="L5" t="n">
        <x:v>-0.2393936181719512</x:v>
      </x:c>
      <x:c r="M5" t="n">
        <x:v>0.2544696254401482</x:v>
      </x:c>
    </x:row>
    <x:row r="6">
      <x:c r="A6" t="n">
        <x:v>95</x:v>
      </x:c>
      <x:c r="B6" t="inlineStr">
        <x:is>
          <x:t xml:space="preserve">Na3YSi2O7</x:t>
        </x:is>
      </x:c>
      <x:c r="C6" t="n">
        <x:v>4</x:v>
      </x:c>
      <x:c r="D6" t="n">
        <x:v>0.6327129482559477</x:v>
      </x:c>
      <x:c r="E6" t="n">
        <x:v>0.3106436766166636</x:v>
      </x:c>
      <x:c r="F6" t="n">
        <x:v>-0.231327443910417</x:v>
      </x:c>
      <x:c r="G6" t="n">
        <x:v>0.4881460596130495</x:v>
      </x:c>
      <x:c r="H6" t="n">
        <x:v>0.6510496545700906</x:v>
      </x:c>
      <x:c r="I6" t="n">
        <x:v>-0.0434941479655231</x:v>
      </x:c>
      <x:c r="J6" t="n">
        <x:v>0.2609363686370704</x:v>
      </x:c>
      <x:c r="K6" t="n">
        <x:v>0.5279822995259009</x:v>
      </x:c>
      <x:c r="L6" t="n">
        <x:v>0.4521991822086841</x:v>
      </x:c>
      <x:c r="M6" t="n">
        <x:v>0.2242900730714296</x:v>
      </x:c>
    </x:row>
    <x:row r="7">
      <x:c r="A7" t="n">
        <x:v>111</x:v>
      </x:c>
      <x:c r="B7" t="inlineStr">
        <x:is>
          <x:t xml:space="preserve">Ba2MgSi2O7</x:t>
        </x:is>
      </x:c>
      <x:c r="C7" t="n">
        <x:v>2</x:v>
      </x:c>
      <x:c r="D7" t="n">
        <x:v>-0.84870595283631</x:v>
      </x:c>
      <x:c r="E7" t="n">
        <x:v>-0.06330269137792957</x:v>
      </x:c>
      <x:c r="F7" t="n">
        <x:v>0.3222462623970572</x:v>
      </x:c>
      <x:c r="G7" t="n">
        <x:v>0.067368214485867</x:v>
      </x:c>
      <x:c r="H7" t="n">
        <x:v>-0.3667686580850487</x:v>
      </x:c>
      <x:c r="I7" t="n">
        <x:v>0.05373786354378904</x:v>
      </x:c>
      <x:c r="J7" t="n">
        <x:v>-0.196381741787579</x:v>
      </x:c>
      <x:c r="K7" t="n">
        <x:v>-0.01690161502449573</x:v>
      </x:c>
      <x:c r="L7" t="n">
        <x:v>0.08737217294225698</x:v>
      </x:c>
      <x:c r="M7" t="n">
        <x:v>0.09217317767828219</x:v>
      </x:c>
    </x:row>
    <x:row r="8">
      <x:c r="A8" t="n">
        <x:v>142</x:v>
      </x:c>
      <x:c r="B8" t="inlineStr">
        <x:is>
          <x:t xml:space="preserve">Ba2Ca(BO3)2</x:t>
        </x:is>
      </x:c>
      <x:c r="C8" t="n">
        <x:v>2</x:v>
      </x:c>
      <x:c r="D8" t="n">
        <x:v>-0.7903970823682128</x:v>
      </x:c>
      <x:c r="E8" t="n">
        <x:v>0.4314923042597231</x:v>
      </x:c>
      <x:c r="F8" t="n">
        <x:v>0.7895213046396521</x:v>
      </x:c>
      <x:c r="G8" t="n">
        <x:v>0.0319576559322626</x:v>
      </x:c>
      <x:c r="H8" t="n">
        <x:v>-0.2904418297857618</x:v>
      </x:c>
      <x:c r="I8" t="n">
        <x:v>-0.02313834929595596</x:v>
      </x:c>
      <x:c r="J8" t="n">
        <x:v>-0.2731038339601951</x:v>
      </x:c>
      <x:c r="K8" t="n">
        <x:v>-0.1308586844217183</x:v>
      </x:c>
      <x:c r="L8" t="n">
        <x:v>0.05154602470295313</x:v>
      </x:c>
      <x:c r="M8" t="n">
        <x:v>-0.3485644627551483</x:v>
      </x:c>
    </x:row>
    <x:row r="9">
      <x:c r="A9" t="n">
        <x:v>144</x:v>
      </x:c>
      <x:c r="B9" t="inlineStr">
        <x:is>
          <x:t xml:space="preserve">Ba2Mg(PO4)2</x:t>
        </x:is>
      </x:c>
      <x:c r="C9" t="n">
        <x:v>2</x:v>
      </x:c>
      <x:c r="D9" t="n">
        <x:v>-0.9222873417907016</x:v>
      </x:c>
      <x:c r="E9" t="n">
        <x:v>-0.6043235140621068</x:v>
      </x:c>
      <x:c r="F9" t="n">
        <x:v>-0.02526926347334262</x:v>
      </x:c>
      <x:c r="G9" t="n">
        <x:v>-0.1704270488090667</x:v>
      </x:c>
      <x:c r="H9" t="n">
        <x:v>-0.2925965850188808</x:v>
      </x:c>
      <x:c r="I9" t="n">
        <x:v>0.1675479778792221</x:v>
      </x:c>
      <x:c r="J9" t="n">
        <x:v>-0.2544900068569217</x:v>
      </x:c>
      <x:c r="K9" t="n">
        <x:v>0.08139193932971195</x:v>
      </x:c>
      <x:c r="L9" t="n">
        <x:v>0.2973466578799871</x:v>
      </x:c>
      <x:c r="M9" t="n">
        <x:v>-0.05845776774793832</x:v>
      </x:c>
    </x:row>
    <x:row r="10">
      <x:c r="A10" t="n">
        <x:v>153</x:v>
      </x:c>
      <x:c r="B10" t="inlineStr">
        <x:is>
          <x:t xml:space="preserve">Ba3Si6(NO6)2</x:t>
        </x:is>
      </x:c>
      <x:c r="C10" t="n">
        <x:v>2</x:v>
      </x:c>
      <x:c r="D10" t="n">
        <x:v>-0.9518844615797948</x:v>
      </x:c>
      <x:c r="E10" t="n">
        <x:v>0.01858745119742414</x:v>
      </x:c>
      <x:c r="F10" t="n">
        <x:v>0.1420200216726124</x:v>
      </x:c>
      <x:c r="G10" t="n">
        <x:v>0.56697479860026</x:v>
      </x:c>
      <x:c r="H10" t="n">
        <x:v>0.4512811111625392</x:v>
      </x:c>
      <x:c r="I10" t="n">
        <x:v>0.2582112922828879</x:v>
      </x:c>
      <x:c r="J10" t="n">
        <x:v>0.001914297393163904</x:v>
      </x:c>
      <x:c r="K10" t="n">
        <x:v>-0.1206019515047073</x:v>
      </x:c>
      <x:c r="L10" t="n">
        <x:v>-0.2095897501068293</x:v>
      </x:c>
      <x:c r="M10" t="n">
        <x:v>0.01969406882882226</x:v>
      </x:c>
    </x:row>
    <x:row r="11">
      <x:c r="A11" t="n">
        <x:v>157</x:v>
      </x:c>
      <x:c r="B11" t="inlineStr">
        <x:is>
          <x:t xml:space="preserve">BaNa(B3O5)3</x:t>
        </x:is>
      </x:c>
      <x:c r="C11" t="n">
        <x:v>2</x:v>
      </x:c>
      <x:c r="D11" t="n">
        <x:v>-0.2184583053400746</x:v>
      </x:c>
      <x:c r="E11" t="n">
        <x:v>0.6188622493129157</x:v>
      </x:c>
      <x:c r="F11" t="n">
        <x:v>0.1264860679427879</x:v>
      </x:c>
      <x:c r="G11" t="n">
        <x:v>-0.6850780817932121</x:v>
      </x:c>
      <x:c r="H11" t="n">
        <x:v>1.132538293373631</x:v>
      </x:c>
      <x:c r="I11" t="n">
        <x:v>-0.2465980207300554</x:v>
      </x:c>
      <x:c r="J11" t="n">
        <x:v>0.4239162577163688</x:v>
      </x:c>
      <x:c r="K11" t="n">
        <x:v>-0.1459754640355671</x:v>
      </x:c>
      <x:c r="L11" t="n">
        <x:v>-0.2320779691418762</x:v>
      </x:c>
      <x:c r="M11" t="n">
        <x:v>0.05255318963614216</x:v>
      </x:c>
    </x:row>
    <x:row r="12">
      <x:c r="A12" t="n">
        <x:v>171</x:v>
      </x:c>
      <x:c r="B12" t="inlineStr">
        <x:is>
          <x:t xml:space="preserve">BaLi2SiO4</x:t>
        </x:is>
      </x:c>
      <x:c r="C12" t="n">
        <x:v>4</x:v>
      </x:c>
      <x:c r="D12" t="n">
        <x:v>0.8389035652157495</x:v>
      </x:c>
      <x:c r="E12" t="n">
        <x:v>0.2868945548579096</x:v>
      </x:c>
      <x:c r="F12" t="n">
        <x:v>0.2005270883462099</x:v>
      </x:c>
      <x:c r="G12" t="n">
        <x:v>0.2833514243766616</x:v>
      </x:c>
      <x:c r="H12" t="n">
        <x:v>0.6204716405834148</x:v>
      </x:c>
      <x:c r="I12" t="n">
        <x:v>0.3382023218128312</x:v>
      </x:c>
      <x:c r="J12" t="n">
        <x:v>0.2100807995386706</x:v>
      </x:c>
      <x:c r="K12" t="n">
        <x:v>-0.4594343982858619</x:v>
      </x:c>
      <x:c r="L12" t="n">
        <x:v>0.5861153121261031</x:v>
      </x:c>
      <x:c r="M12" t="n">
        <x:v>-0.2040927262002207</x:v>
      </x:c>
    </x:row>
    <x:row r="13">
      <x:c r="A13" t="n">
        <x:v>180</x:v>
      </x:c>
      <x:c r="B13" t="inlineStr">
        <x:is>
          <x:t xml:space="preserve">Ba6Y2Al4O15</x:t>
        </x:is>
      </x:c>
      <x:c r="C13" t="n">
        <x:v>2</x:v>
      </x:c>
      <x:c r="D13" t="n">
        <x:v>-0.7895899802920929</x:v>
      </x:c>
      <x:c r="E13" t="n">
        <x:v>0.243109672458081</x:v>
      </x:c>
      <x:c r="F13" t="n">
        <x:v>0.6950833725719826</x:v>
      </x:c>
      <x:c r="G13" t="n">
        <x:v>0.5771510899915868</x:v>
      </x:c>
      <x:c r="H13" t="n">
        <x:v>-0.4503948054286137</x:v>
      </x:c>
      <x:c r="I13" t="n">
        <x:v>-0.007644909176014452</x:v>
      </x:c>
      <x:c r="J13" t="n">
        <x:v>-0.2252495629366016</x:v>
      </x:c>
      <x:c r="K13" t="n">
        <x:v>0.4957030410531063</x:v>
      </x:c>
      <x:c r="L13" t="n">
        <x:v>0.2385514103776183</x:v>
      </x:c>
      <x:c r="M13" t="n">
        <x:v>0.07755932118253288</x:v>
      </x:c>
    </x:row>
    <x:row r="14">
      <x:c r="A14" t="n">
        <x:v>199</x:v>
      </x:c>
      <x:c r="B14" t="inlineStr">
        <x:is>
          <x:t xml:space="preserve">Cs2BaP2O7</x:t>
        </x:is>
      </x:c>
      <x:c r="C14" t="n">
        <x:v>4</x:v>
      </x:c>
      <x:c r="D14" t="n">
        <x:v>0.520988116338067</x:v>
      </x:c>
      <x:c r="E14" t="n">
        <x:v>-0.9789638738883083</x:v>
      </x:c>
      <x:c r="F14" t="n">
        <x:v>0.5471199903013964</x:v>
      </x:c>
      <x:c r="G14" t="n">
        <x:v>-0.3652894996854408</x:v>
      </x:c>
      <x:c r="H14" t="n">
        <x:v>0.03966182352920623</x:v>
      </x:c>
      <x:c r="I14" t="n">
        <x:v>0.3036679525384582</x:v>
      </x:c>
      <x:c r="J14" t="n">
        <x:v>0.09674979316762432</x:v>
      </x:c>
      <x:c r="K14" t="n">
        <x:v>0.3991299712155064</x:v>
      </x:c>
      <x:c r="L14" t="n">
        <x:v>0.1298807689810196</x:v>
      </x:c>
      <x:c r="M14" t="n">
        <x:v>0.0002105523543657192</x:v>
      </x:c>
    </x:row>
    <x:row r="15">
      <x:c r="A15" t="n">
        <x:v>261</x:v>
      </x:c>
      <x:c r="B15" t="inlineStr">
        <x:is>
          <x:t xml:space="preserve">NaCaPO4</x:t>
        </x:is>
      </x:c>
      <x:c r="C15" t="n">
        <x:v>4</x:v>
      </x:c>
      <x:c r="D15" t="n">
        <x:v>0.6142050586469257</x:v>
      </x:c>
      <x:c r="E15" t="n">
        <x:v>-0.2555426514924736</x:v>
      </x:c>
      <x:c r="F15" t="n">
        <x:v>-0.6090547007023606</x:v>
      </x:c>
      <x:c r="G15" t="n">
        <x:v>0.1882993039177749</x:v>
      </x:c>
      <x:c r="H15" t="n">
        <x:v>-0.03689633591110648</x:v>
      </x:c>
      <x:c r="I15" t="n">
        <x:v>-0.05100264487306818</x:v>
      </x:c>
      <x:c r="J15" t="n">
        <x:v>-0.2727007214871584</x:v>
      </x:c>
      <x:c r="K15" t="n">
        <x:v>0.2873053336240347</x:v>
      </x:c>
      <x:c r="L15" t="n">
        <x:v>-0.09342940341164799</x:v>
      </x:c>
      <x:c r="M15" t="n">
        <x:v>-0.1319565797728871</x:v>
      </x:c>
    </x:row>
    <x:row r="16">
      <x:c r="A16" t="n">
        <x:v>283</x:v>
      </x:c>
      <x:c r="B16" t="inlineStr">
        <x:is>
          <x:t xml:space="preserve">RbLi7(SiO4)2</x:t>
        </x:is>
      </x:c>
      <x:c r="C16" t="n">
        <x:v>4</x:v>
      </x:c>
      <x:c r="D16" t="n">
        <x:v>1.293881876912752</x:v>
      </x:c>
      <x:c r="E16" t="n">
        <x:v>0.4109175303939864</x:v>
      </x:c>
      <x:c r="F16" t="n">
        <x:v>0.09763576464552999</x:v>
      </x:c>
      <x:c r="G16" t="n">
        <x:v>-0.5748036220363471</x:v>
      </x:c>
      <x:c r="H16" t="n">
        <x:v>-0.1166790531471362</x:v>
      </x:c>
      <x:c r="I16" t="n">
        <x:v>0.09546446277621994</x:v>
      </x:c>
      <x:c r="J16" t="n">
        <x:v>-0.2074101305647522</x:v>
      </x:c>
      <x:c r="K16" t="n">
        <x:v>-0.1285686064075223</x:v>
      </x:c>
      <x:c r="L16" t="n">
        <x:v>0.6631567744624421</x:v>
      </x:c>
      <x:c r="M16" t="n">
        <x:v>-0.06613874645028825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Benchmark</x:t>
        </x:is>
      </x:c>
      <x:c r="B1" s="1" t="inlineStr">
        <x:is>
          <x:t xml:space="preserve">17 | SrAl2O4</x:t>
        </x:is>
      </x:c>
      <x:c r="C1" s="1" t="inlineStr">
        <x:is>
          <x:t xml:space="preserve">111 | Ba2MgSi2O7</x:t>
        </x:is>
      </x:c>
      <x:c r="D1" s="1" t="inlineStr">
        <x:is>
          <x:t xml:space="preserve">142 | Ba2Ca(BO3)2</x:t>
        </x:is>
      </x:c>
      <x:c r="E1" s="1" t="inlineStr">
        <x:is>
          <x:t xml:space="preserve">144 | Ba2Mg(PO4)2</x:t>
        </x:is>
      </x:c>
      <x:c r="F1" s="1" t="inlineStr">
        <x:is>
          <x:t xml:space="preserve">153 | Ba3Si6(NO6)2</x:t>
        </x:is>
      </x:c>
      <x:c r="G1" s="1" t="inlineStr">
        <x:is>
          <x:t xml:space="preserve">157 | BaNa(B3O5)3</x:t>
        </x:is>
      </x:c>
      <x:c r="H1" s="1" t="inlineStr">
        <x:is>
          <x:t xml:space="preserve">180 | Ba6Y2Al4O15</x:t>
        </x:is>
      </x:c>
      <x:c r="I1" s="1" t="inlineStr">
        <x:is>
          <x:t xml:space="preserve">14 | K2RbNaLi12(SiO4)4</x:t>
        </x:is>
      </x:c>
      <x:c r="J1" s="1" t="inlineStr">
        <x:is>
          <x:t xml:space="preserve">15 | Rb2ZrSi2O7</x:t>
        </x:is>
      </x:c>
      <x:c r="K1" s="1" t="inlineStr">
        <x:is>
          <x:t xml:space="preserve">16 | Sr2LiSiO4F</x:t>
        </x:is>
      </x:c>
      <x:c r="L1" s="1" t="inlineStr">
        <x:is>
          <x:t xml:space="preserve">95 | Na3YSi2O7</x:t>
        </x:is>
      </x:c>
      <x:c r="M1" s="1" t="inlineStr">
        <x:is>
          <x:t xml:space="preserve">171 | BaLi2SiO4</x:t>
        </x:is>
      </x:c>
      <x:c r="N1" s="1" t="inlineStr">
        <x:is>
          <x:t xml:space="preserve">199 | Cs2BaP2O7</x:t>
        </x:is>
      </x:c>
      <x:c r="O1" s="1" t="inlineStr">
        <x:is>
          <x:t xml:space="preserve">261 | NaCaPO4</x:t>
        </x:is>
      </x:c>
      <x:c r="P1" s="1" t="inlineStr">
        <x:is>
          <x:t xml:space="preserve">283 | RbLi7(SiO4)2</x:t>
        </x:is>
      </x:c>
    </x:row>
    <x:row r="2">
      <x:c r="A2" s="1" t="inlineStr">
        <x:is>
          <x:t xml:space="preserve">17 | SrAl2O4</x:t>
        </x:is>
      </x:c>
      <x:c r="B2" t="n">
        <x:v>0</x:v>
      </x:c>
      <x:c r="C2" t="n">
        <x:v>0.6388981088282819</x:v>
      </x:c>
      <x:c r="D2" t="n">
        <x:v>1.053915416546027</x:v>
      </x:c>
      <x:c r="E2" t="n">
        <x:v>1.209863373786819</x:v>
      </x:c>
      <x:c r="F2" t="n">
        <x:v>1.162027879379593</x:v>
      </x:c>
      <x:c r="G2" t="n">
        <x:v>1.995935349852285</x:v>
      </x:c>
      <x:c r="H2" t="n">
        <x:v>1.032134220737294</x:v>
      </x:c>
      <x:c r="I2" t="n">
        <x:v>2.365882994924128</x:v>
      </x:c>
      <x:c r="J2" t="n">
        <x:v>1.500430353683339</x:v>
      </x:c>
      <x:c r="K2" t="n">
        <x:v>1.740291841226693</x:v>
      </x:c>
      <x:c r="L2" t="n">
        <x:v>2.02211237402136</x:v>
      </x:c>
      <x:c r="M2" t="n">
        <x:v>2.252628632560807</x:v>
      </x:c>
      <x:c r="N2" t="n">
        <x:v>2.114277518564791</x:v>
      </x:c>
      <x:c r="O2" t="n">
        <x:v>1.715992581286376</x:v>
      </x:c>
      <x:c r="P2" t="n">
        <x:v>2.379820070802318</x:v>
      </x:c>
    </x:row>
    <x:row r="3">
      <x:c r="A3" s="1" t="inlineStr">
        <x:is>
          <x:t xml:space="preserve">111 | Ba2MgSi2O7</x:t>
        </x:is>
      </x:c>
      <x:c r="B3" t="n">
        <x:v>0.6388981088282819</x:v>
      </x:c>
      <x:c r="C3" t="n">
        <x:v>0</x:v>
      </x:c>
      <x:c r="D3" t="n">
        <x:v>0.8330445938528602</x:v>
      </x:c>
      <x:c r="E3" t="n">
        <x:v>0.7574316980656411</x:v>
      </x:c>
      <x:c r="F3" t="n">
        <x:v>1.074229737431206</x:v>
      </x:c>
      <x:c r="G3" t="n">
        <x:v>2.076109189684203</x:v>
      </x:c>
      <x:c r="H3" t="n">
        <x:v>0.8908962421481714</x:v>
      </x:c>
      <x:c r="I3" t="n">
        <x:v>2.435059090216205</x:v>
      </x:c>
      <x:c r="J3" t="n">
        <x:v>1.569204464572638</x:v>
      </x:c>
      <x:c r="K3" t="n">
        <x:v>1.754618338445151</x:v>
      </x:c>
      <x:c r="L3" t="n">
        <x:v>2.126014070214413</x:v>
      </x:c>
      <x:c r="M3" t="n">
        <x:v>2.187523029080395</x:v>
      </x:c>
      <x:c r="N3" t="n">
        <x:v>1.857197190370371</x:v>
      </x:c>
      <x:c r="O3" t="n">
        <x:v>1.83305394834421</x:v>
      </x:c>
      <x:c r="P3" t="n">
        <x:v>2.389951799686097</x:v>
      </x:c>
    </x:row>
    <x:row r="4">
      <x:c r="A4" s="1" t="inlineStr">
        <x:is>
          <x:t xml:space="preserve">142 | Ba2Ca(BO3)2</x:t>
        </x:is>
      </x:c>
      <x:c r="B4" t="n">
        <x:v>1.053915416546027</x:v>
      </x:c>
      <x:c r="C4" t="n">
        <x:v>0.8330445938528602</x:v>
      </x:c>
      <x:c r="D4" t="n">
        <x:v>0</x:v>
      </x:c>
      <x:c r="E4" t="n">
        <x:v>1.421792971764032</x:v>
      </x:c>
      <x:c r="F4" t="n">
        <x:v>1.345706803051195</x:v>
      </x:c>
      <x:c r="G4" t="n">
        <x:v>2.029331800640326</x:v>
      </x:c>
      <x:c r="H4" t="n">
        <x:v>0.9893887975060818</x:v>
      </x:c>
      <x:c r="I4" t="n">
        <x:v>2.453241451362188</x:v>
      </x:c>
      <x:c r="J4" t="n">
        <x:v>1.656355929117638</x:v>
      </x:c>
      <x:c r="K4" t="n">
        <x:v>1.640783715667864</x:v>
      </x:c>
      <x:c r="L4" t="n">
        <x:v>2.320530715751254</x:v>
      </x:c>
      <x:c r="M4" t="n">
        <x:v>2.166572950444275</x:v>
      </x:c>
      <x:c r="N4" t="n">
        <x:v>2.16492777581175</x:v>
      </x:c>
      <x:c r="O4" t="n">
        <x:v>2.175601446320083</x:v>
      </x:c>
      <x:c r="P4" t="n">
        <x:v>2.386193617766047</x:v>
      </x:c>
    </x:row>
    <x:row r="5">
      <x:c r="A5" s="1" t="inlineStr">
        <x:is>
          <x:t xml:space="preserve">144 | Ba2Mg(PO4)2</x:t>
        </x:is>
      </x:c>
      <x:c r="B5" t="n">
        <x:v>1.209863373786819</x:v>
      </x:c>
      <x:c r="C5" t="n">
        <x:v>0.7574316980656411</x:v>
      </x:c>
      <x:c r="D5" t="n">
        <x:v>1.421792971764032</x:v>
      </x:c>
      <x:c r="E5" t="n">
        <x:v>0</x:v>
      </x:c>
      <x:c r="F5" t="n">
        <x:v>1.375446125283659</x:v>
      </x:c>
      <x:c r="G5" t="n">
        <x:v>2.29924450302617</x:v>
      </x:c>
      <x:c r="H5" t="n">
        <x:v>1.436520670737345</x:v>
      </x:c>
      <x:c r="I5" t="n">
        <x:v>2.679489223359357</x:v>
      </x:c>
      <x:c r="J5" t="n">
        <x:v>1.837249447213781</x:v>
      </x:c>
      <x:c r="K5" t="n">
        <x:v>2.002264339502133</x:v>
      </x:c>
      <x:c r="L5" t="n">
        <x:v>2.288101685557498</x:v>
      </x:c>
      <x:c r="M5" t="n">
        <x:v>2.372486982184242</x:v>
      </x:c>
      <x:c r="N5" t="n">
        <x:v>1.724453022600004</x:v>
      </x:c>
      <x:c r="O5" t="n">
        <x:v>1.807189523315915</x:v>
      </x:c>
      <x:c r="P5" t="n">
        <x:v>2.517352863367435</x:v>
      </x:c>
    </x:row>
    <x:row r="6">
      <x:c r="A6" s="1" t="inlineStr">
        <x:is>
          <x:t xml:space="preserve">153 | Ba3Si6(NO6)2</x:t>
        </x:is>
      </x:c>
      <x:c r="B6" t="n">
        <x:v>1.162027879379593</x:v>
      </x:c>
      <x:c r="C6" t="n">
        <x:v>1.074229737431206</x:v>
      </x:c>
      <x:c r="D6" t="n">
        <x:v>1.345706803051195</x:v>
      </x:c>
      <x:c r="E6" t="n">
        <x:v>1.375446125283659</x:v>
      </x:c>
      <x:c r="F6" t="n">
        <x:v>0</x:v>
      </x:c>
      <x:c r="G6" t="n">
        <x:v>1.834497255712968</x:v>
      </x:c>
      <x:c r="H6" t="n">
        <x:v>1.379146650058416</x:v>
      </x:c>
      <x:c r="I6" t="n">
        <x:v>2.468904803846959</x:v>
      </x:c>
      <x:c r="J6" t="n">
        <x:v>1.945311090934941</x:v>
      </x:c>
      <x:c r="K6" t="n">
        <x:v>1.999018067084788</x:v>
      </x:c>
      <x:c r="L6" t="n">
        <x:v>1.95968360042796</x:v>
      </x:c>
      <x:c r="M6" t="n">
        <x:v>2.058923881399297</x:v>
      </x:c>
      <x:c r="N6" t="n">
        <x:v>2.182639826635275</x:v>
      </x:c>
      <x:c r="O6" t="n">
        <x:v>1.961508463762682</x:v>
      </x:c>
      <x:c r="P6" t="n">
        <x:v>2.768576618601289</x:v>
      </x:c>
    </x:row>
    <x:row r="7">
      <x:c r="A7" s="1" t="inlineStr">
        <x:is>
          <x:t xml:space="preserve">157 | BaNa(B3O5)3</x:t>
        </x:is>
      </x:c>
      <x:c r="B7" t="n">
        <x:v>1.995935349852285</x:v>
      </x:c>
      <x:c r="C7" t="n">
        <x:v>2.076109189684203</x:v>
      </x:c>
      <x:c r="D7" t="n">
        <x:v>2.029331800640326</x:v>
      </x:c>
      <x:c r="E7" t="n">
        <x:v>2.29924450302617</x:v>
      </x:c>
      <x:c r="F7" t="n">
        <x:v>1.834497255712968</x:v>
      </x:c>
      <x:c r="G7" t="n">
        <x:v>0</x:v>
      </x:c>
      <x:c r="H7" t="n">
        <x:v>2.449891311255747</x:v>
      </x:c>
      <x:c r="I7" t="n">
        <x:v>2.266019610601904</x:v>
      </x:c>
      <x:c r="J7" t="n">
        <x:v>1.814545504828422</x:v>
      </x:c>
      <x:c r="K7" t="n">
        <x:v>2.046331367347372</x:v>
      </x:c>
      <x:c r="L7" t="n">
        <x:v>1.890917599335502</x:v>
      </x:c>
      <x:c r="M7" t="n">
        <x:v>1.911817886826799</x:v>
      </x:c>
      <x:c r="N7" t="n">
        <x:v>2.326828376766456</x:v>
      </x:c>
      <x:c r="O7" t="n">
        <x:v>2.212200293110382</x:v>
      </x:c>
      <x:c r="P7" t="n">
        <x:v>2.288092301461956</x:v>
      </x:c>
    </x:row>
    <x:row r="8">
      <x:c r="A8" s="1" t="inlineStr">
        <x:is>
          <x:t xml:space="preserve">180 | Ba6Y2Al4O15</x:t>
        </x:is>
      </x:c>
      <x:c r="B8" t="n">
        <x:v>1.032134220737294</x:v>
      </x:c>
      <x:c r="C8" t="n">
        <x:v>0.8908962421481714</x:v>
      </x:c>
      <x:c r="D8" t="n">
        <x:v>0.9893887975060818</x:v>
      </x:c>
      <x:c r="E8" t="n">
        <x:v>1.436520670737345</x:v>
      </x:c>
      <x:c r="F8" t="n">
        <x:v>1.379146650058416</x:v>
      </x:c>
      <x:c r="G8" t="n">
        <x:v>2.449891311255747</x:v>
      </x:c>
      <x:c r="H8" t="n">
        <x:v>0</x:v>
      </x:c>
      <x:c r="I8" t="n">
        <x:v>2.541435928326185</x:v>
      </x:c>
      <x:c r="J8" t="n">
        <x:v>1.63512615243677</x:v>
      </x:c>
      <x:c r="K8" t="n">
        <x:v>1.965614485304116</x:v>
      </x:c>
      <x:c r="L8" t="n">
        <x:v>2.100648571163652</x:v>
      </x:c>
      <x:c r="M8" t="n">
        <x:v>2.35650299213911</x:v>
      </x:c>
      <x:c r="N8" t="n">
        <x:v>2.142204333987456</x:v>
      </x:c>
      <x:c r="O8" t="n">
        <x:v>2.108062320035279</x:v>
      </x:c>
      <x:c r="P8" t="n">
        <x:v>2.601139690723432</x:v>
      </x:c>
    </x:row>
    <x:row r="9">
      <x:c r="A9" s="1" t="inlineStr">
        <x:is>
          <x:t xml:space="preserve">14 | K2RbNaLi12(SiO4)4</x:t>
        </x:is>
      </x:c>
      <x:c r="B9" t="n">
        <x:v>2.365882994924128</x:v>
      </x:c>
      <x:c r="C9" t="n">
        <x:v>2.435059090216205</x:v>
      </x:c>
      <x:c r="D9" t="n">
        <x:v>2.453241451362188</x:v>
      </x:c>
      <x:c r="E9" t="n">
        <x:v>2.679489223359357</x:v>
      </x:c>
      <x:c r="F9" t="n">
        <x:v>2.468904803846959</x:v>
      </x:c>
      <x:c r="G9" t="n">
        <x:v>2.266019610601904</x:v>
      </x:c>
      <x:c r="H9" t="n">
        <x:v>2.541435928326184</x:v>
      </x:c>
      <x:c r="I9" t="n">
        <x:v>0</x:v>
      </x:c>
      <x:c r="J9" t="n">
        <x:v>1.649092844241671</x:v>
      </x:c>
      <x:c r="K9" t="n">
        <x:v>1.400528067241995</x:v>
      </x:c>
      <x:c r="L9" t="n">
        <x:v>1.365768753530583</x:v>
      </x:c>
      <x:c r="M9" t="n">
        <x:v>0.8860660218997692</x:v>
      </x:c>
      <x:c r="N9" t="n">
        <x:v>2.025762424657112</x:v>
      </x:c>
      <x:c r="O9" t="n">
        <x:v>1.591339905770051</x:v>
      </x:c>
      <x:c r="P9" t="n">
        <x:v>1.06918456069644</x:v>
      </x:c>
    </x:row>
    <x:row r="10">
      <x:c r="A10" s="1" t="inlineStr">
        <x:is>
          <x:t xml:space="preserve">15 | Rb2ZrSi2O7</x:t>
        </x:is>
      </x:c>
      <x:c r="B10" t="n">
        <x:v>1.500430353683339</x:v>
      </x:c>
      <x:c r="C10" t="n">
        <x:v>1.569204464572638</x:v>
      </x:c>
      <x:c r="D10" t="n">
        <x:v>1.656355929117638</x:v>
      </x:c>
      <x:c r="E10" t="n">
        <x:v>1.837249447213781</x:v>
      </x:c>
      <x:c r="F10" t="n">
        <x:v>1.945311090934941</x:v>
      </x:c>
      <x:c r="G10" t="n">
        <x:v>1.814545504828422</x:v>
      </x:c>
      <x:c r="H10" t="n">
        <x:v>1.63512615243677</x:v>
      </x:c>
      <x:c r="I10" t="n">
        <x:v>1.649092844241671</x:v>
      </x:c>
      <x:c r="J10" t="n">
        <x:v>0</x:v>
      </x:c>
      <x:c r="K10" t="n">
        <x:v>1.209199024727265</x:v>
      </x:c>
      <x:c r="L10" t="n">
        <x:v>1.42478326673584</x:v>
      </x:c>
      <x:c r="M10" t="n">
        <x:v>1.708692615954373</x:v>
      </x:c>
      <x:c r="N10" t="n">
        <x:v>1.250742197542304</x:v>
      </x:c>
      <x:c r="O10" t="n">
        <x:v>1.309417093654967</x:v>
      </x:c>
      <x:c r="P10" t="n">
        <x:v>1.494344540936513</x:v>
      </x:c>
    </x:row>
    <x:row r="11">
      <x:c r="A11" s="1" t="inlineStr">
        <x:is>
          <x:t xml:space="preserve">16 | Sr2LiSiO4F</x:t>
        </x:is>
      </x:c>
      <x:c r="B11" t="n">
        <x:v>1.740291841226694</x:v>
      </x:c>
      <x:c r="C11" t="n">
        <x:v>1.754618338445151</x:v>
      </x:c>
      <x:c r="D11" t="n">
        <x:v>1.640783715667864</x:v>
      </x:c>
      <x:c r="E11" t="n">
        <x:v>2.002264339502133</x:v>
      </x:c>
      <x:c r="F11" t="n">
        <x:v>1.999018067084788</x:v>
      </x:c>
      <x:c r="G11" t="n">
        <x:v>2.046331367347372</x:v>
      </x:c>
      <x:c r="H11" t="n">
        <x:v>1.965614485304116</x:v>
      </x:c>
      <x:c r="I11" t="n">
        <x:v>1.400528067241995</x:v>
      </x:c>
      <x:c r="J11" t="n">
        <x:v>1.209199024727265</x:v>
      </x:c>
      <x:c r="K11" t="n">
        <x:v>0</x:v>
      </x:c>
      <x:c r="L11" t="n">
        <x:v>1.753941028336218</x:v>
      </x:c>
      <x:c r="M11" t="n">
        <x:v>1.465002154365087</x:v>
      </x:c>
      <x:c r="N11" t="n">
        <x:v>1.718269914065607</x:v>
      </x:c>
      <x:c r="O11" t="n">
        <x:v>1.21824565787193</x:v>
      </x:c>
      <x:c r="P11" t="n">
        <x:v>1.4220042305121</x:v>
      </x:c>
    </x:row>
    <x:row r="12">
      <x:c r="A12" s="1" t="inlineStr">
        <x:is>
          <x:t xml:space="preserve">95 | Na3YSi2O7</x:t>
        </x:is>
      </x:c>
      <x:c r="B12" t="n">
        <x:v>2.02211237402136</x:v>
      </x:c>
      <x:c r="C12" t="n">
        <x:v>2.126014070214413</x:v>
      </x:c>
      <x:c r="D12" t="n">
        <x:v>2.320530715751254</x:v>
      </x:c>
      <x:c r="E12" t="n">
        <x:v>2.288101685557498</x:v>
      </x:c>
      <x:c r="F12" t="n">
        <x:v>1.95968360042796</x:v>
      </x:c>
      <x:c r="G12" t="n">
        <x:v>1.890917599335502</x:v>
      </x:c>
      <x:c r="H12" t="n">
        <x:v>2.100648571163652</x:v>
      </x:c>
      <x:c r="I12" t="n">
        <x:v>1.365768753530583</x:v>
      </x:c>
      <x:c r="J12" t="n">
        <x:v>1.42478326673584</x:v>
      </x:c>
      <x:c r="K12" t="n">
        <x:v>1.753941028336218</x:v>
      </x:c>
      <x:c r="L12" t="n">
        <x:v>0</x:v>
      </x:c>
      <x:c r="M12" t="n">
        <x:v>1.263791263432803</x:v>
      </x:c>
      <x:c r="N12" t="n">
        <x:v>1.924027100445727</x:v>
      </x:c>
      <x:c r="O12" t="n">
        <x:v>1.339454253741354</x:v>
      </x:c>
      <x:c r="P12" t="n">
        <x:v>1.753069998819739</x:v>
      </x:c>
    </x:row>
    <x:row r="13">
      <x:c r="A13" s="1" t="inlineStr">
        <x:is>
          <x:t xml:space="preserve">171 | BaLi2SiO4</x:t>
        </x:is>
      </x:c>
      <x:c r="B13" t="n">
        <x:v>2.252628632560807</x:v>
      </x:c>
      <x:c r="C13" t="n">
        <x:v>2.187523029080395</x:v>
      </x:c>
      <x:c r="D13" t="n">
        <x:v>2.166572950444275</x:v>
      </x:c>
      <x:c r="E13" t="n">
        <x:v>2.372486982184242</x:v>
      </x:c>
      <x:c r="F13" t="n">
        <x:v>2.058923881399297</x:v>
      </x:c>
      <x:c r="G13" t="n">
        <x:v>1.911817886826799</x:v>
      </x:c>
      <x:c r="H13" t="n">
        <x:v>2.35650299213911</x:v>
      </x:c>
      <x:c r="I13" t="n">
        <x:v>0.8860660218997692</x:v>
      </x:c>
      <x:c r="J13" t="n">
        <x:v>1.708692615954373</x:v>
      </x:c>
      <x:c r="K13" t="n">
        <x:v>1.465002154365087</x:v>
      </x:c>
      <x:c r="L13" t="n">
        <x:v>1.263791263432803</x:v>
      </x:c>
      <x:c r="M13" t="n">
        <x:v>0</x:v>
      </x:c>
      <x:c r="N13" t="n">
        <x:v>1.892809718416997</x:v>
      </x:c>
      <x:c r="O13" t="n">
        <x:v>1.688336800332594</x:v>
      </x:c>
      <x:c r="P13" t="n">
        <x:v>1.37129647437425</x:v>
      </x:c>
    </x:row>
    <x:row r="14">
      <x:c r="A14" s="1" t="inlineStr">
        <x:is>
          <x:t xml:space="preserve">199 | Cs2BaP2O7</x:t>
        </x:is>
      </x:c>
      <x:c r="B14" t="n">
        <x:v>2.114277518564791</x:v>
      </x:c>
      <x:c r="C14" t="n">
        <x:v>1.857197190370371</x:v>
      </x:c>
      <x:c r="D14" t="n">
        <x:v>2.164927775811751</x:v>
      </x:c>
      <x:c r="E14" t="n">
        <x:v>1.724453022600004</x:v>
      </x:c>
      <x:c r="F14" t="n">
        <x:v>2.182639826635276</x:v>
      </x:c>
      <x:c r="G14" t="n">
        <x:v>2.326828376766456</x:v>
      </x:c>
      <x:c r="H14" t="n">
        <x:v>2.142204333987456</x:v>
      </x:c>
      <x:c r="I14" t="n">
        <x:v>2.025762424657112</x:v>
      </x:c>
      <x:c r="J14" t="n">
        <x:v>1.250742197542304</x:v>
      </x:c>
      <x:c r="K14" t="n">
        <x:v>1.718269914065607</x:v>
      </x:c>
      <x:c r="L14" t="n">
        <x:v>1.924027100445727</x:v>
      </x:c>
      <x:c r="M14" t="n">
        <x:v>1.892809718416997</x:v>
      </x:c>
      <x:c r="N14" t="n">
        <x:v>0</x:v>
      </x:c>
      <x:c r="O14" t="n">
        <x:v>1.588462950038068</x:v>
      </x:c>
      <x:c r="P14" t="n">
        <x:v>1.871529603841834</x:v>
      </x:c>
    </x:row>
    <x:row r="15">
      <x:c r="A15" s="1" t="inlineStr">
        <x:is>
          <x:t xml:space="preserve">261 | NaCaPO4</x:t>
        </x:is>
      </x:c>
      <x:c r="B15" t="n">
        <x:v>1.715992581286376</x:v>
      </x:c>
      <x:c r="C15" t="n">
        <x:v>1.83305394834421</x:v>
      </x:c>
      <x:c r="D15" t="n">
        <x:v>2.175601446320083</x:v>
      </x:c>
      <x:c r="E15" t="n">
        <x:v>1.807189523315915</x:v>
      </x:c>
      <x:c r="F15" t="n">
        <x:v>1.961508463762682</x:v>
      </x:c>
      <x:c r="G15" t="n">
        <x:v>2.212200293110382</x:v>
      </x:c>
      <x:c r="H15" t="n">
        <x:v>2.108062320035279</x:v>
      </x:c>
      <x:c r="I15" t="n">
        <x:v>1.591339905770051</x:v>
      </x:c>
      <x:c r="J15" t="n">
        <x:v>1.309417093654967</x:v>
      </x:c>
      <x:c r="K15" t="n">
        <x:v>1.21824565787193</x:v>
      </x:c>
      <x:c r="L15" t="n">
        <x:v>1.339454253741354</x:v>
      </x:c>
      <x:c r="M15" t="n">
        <x:v>1.688336800332594</x:v>
      </x:c>
      <x:c r="N15" t="n">
        <x:v>1.588462950038068</x:v>
      </x:c>
      <x:c r="O15" t="n">
        <x:v>0</x:v>
      </x:c>
      <x:c r="P15" t="n">
        <x:v>1.664227677731607</x:v>
      </x:c>
    </x:row>
    <x:row r="16">
      <x:c r="A16" s="1" t="inlineStr">
        <x:is>
          <x:t xml:space="preserve">283 | RbLi7(SiO4)2</x:t>
        </x:is>
      </x:c>
      <x:c r="B16" t="n">
        <x:v>2.379820070802318</x:v>
      </x:c>
      <x:c r="C16" t="n">
        <x:v>2.389951799686097</x:v>
      </x:c>
      <x:c r="D16" t="n">
        <x:v>2.386193617766047</x:v>
      </x:c>
      <x:c r="E16" t="n">
        <x:v>2.517352863367435</x:v>
      </x:c>
      <x:c r="F16" t="n">
        <x:v>2.768576618601289</x:v>
      </x:c>
      <x:c r="G16" t="n">
        <x:v>2.288092301461956</x:v>
      </x:c>
      <x:c r="H16" t="n">
        <x:v>2.601139690723432</x:v>
      </x:c>
      <x:c r="I16" t="n">
        <x:v>1.06918456069644</x:v>
      </x:c>
      <x:c r="J16" t="n">
        <x:v>1.494344540936513</x:v>
      </x:c>
      <x:c r="K16" t="n">
        <x:v>1.4220042305121</x:v>
      </x:c>
      <x:c r="L16" t="n">
        <x:v>1.753069998819739</x:v>
      </x:c>
      <x:c r="M16" t="n">
        <x:v>1.37129647437425</x:v>
      </x:c>
      <x:c r="N16" t="n">
        <x:v>1.871529603841834</x:v>
      </x:c>
      <x:c r="O16" t="n">
        <x:v>1.664227677731607</x:v>
      </x:c>
      <x:c r="P16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Benchmark</x:t>
        </x:is>
      </x:c>
      <x:c r="B1" s="1" t="inlineStr">
        <x:is>
          <x:t xml:space="preserve">17 | SrAl2O4</x:t>
        </x:is>
      </x:c>
      <x:c r="C1" s="1" t="inlineStr">
        <x:is>
          <x:t xml:space="preserve">111 | Ba2MgSi2O7</x:t>
        </x:is>
      </x:c>
      <x:c r="D1" s="1" t="inlineStr">
        <x:is>
          <x:t xml:space="preserve">142 | Ba2Ca(BO3)2</x:t>
        </x:is>
      </x:c>
      <x:c r="E1" s="1" t="inlineStr">
        <x:is>
          <x:t xml:space="preserve">144 | Ba2Mg(PO4)2</x:t>
        </x:is>
      </x:c>
      <x:c r="F1" s="1" t="inlineStr">
        <x:is>
          <x:t xml:space="preserve">153 | Ba3Si6(NO6)2</x:t>
        </x:is>
      </x:c>
      <x:c r="G1" s="1" t="inlineStr">
        <x:is>
          <x:t xml:space="preserve">157 | BaNa(B3O5)3</x:t>
        </x:is>
      </x:c>
      <x:c r="H1" s="1" t="inlineStr">
        <x:is>
          <x:t xml:space="preserve">180 | Ba6Y2Al4O15</x:t>
        </x:is>
      </x:c>
      <x:c r="I1" s="1" t="inlineStr">
        <x:is>
          <x:t xml:space="preserve">14 | K2RbNaLi12(SiO4)4</x:t>
        </x:is>
      </x:c>
      <x:c r="J1" s="1" t="inlineStr">
        <x:is>
          <x:t xml:space="preserve">15 | Rb2ZrSi2O7</x:t>
        </x:is>
      </x:c>
      <x:c r="K1" s="1" t="inlineStr">
        <x:is>
          <x:t xml:space="preserve">16 | Sr2LiSiO4F</x:t>
        </x:is>
      </x:c>
      <x:c r="L1" s="1" t="inlineStr">
        <x:is>
          <x:t xml:space="preserve">95 | Na3YSi2O7</x:t>
        </x:is>
      </x:c>
      <x:c r="M1" s="1" t="inlineStr">
        <x:is>
          <x:t xml:space="preserve">171 | BaLi2SiO4</x:t>
        </x:is>
      </x:c>
      <x:c r="N1" s="1" t="inlineStr">
        <x:is>
          <x:t xml:space="preserve">199 | Cs2BaP2O7</x:t>
        </x:is>
      </x:c>
      <x:c r="O1" s="1" t="inlineStr">
        <x:is>
          <x:t xml:space="preserve">261 | NaCaPO4</x:t>
        </x:is>
      </x:c>
      <x:c r="P1" s="1" t="inlineStr">
        <x:is>
          <x:t xml:space="preserve">283 | RbLi7(SiO4)2</x:t>
        </x:is>
      </x:c>
    </x:row>
    <x:row r="2">
      <x:c r="A2" s="1" t="inlineStr">
        <x:is>
          <x:t xml:space="preserve">17 | SrAl2O4</x:t>
        </x:is>
      </x:c>
      <x:c r="B2" t="n">
        <x:v>0</x:v>
      </x:c>
      <x:c r="C2" t="n">
        <x:v>0.2307677181609152</x:v>
      </x:c>
      <x:c r="D2" t="n">
        <x:v>0.3806704894728451</x:v>
      </x:c>
      <x:c r="E2" t="n">
        <x:v>0.4369983354110869</x:v>
      </x:c>
      <x:c r="F2" t="n">
        <x:v>0.4197203254453042</x:v>
      </x:c>
      <x:c r="G2" t="n">
        <x:v>0.7209247294953498</x:v>
      </x:c>
      <x:c r="H2" t="n">
        <x:v>0.3728031992333799</x:v>
      </x:c>
      <x:c r="I2" t="n">
        <x:v>0.8545484994088384</x:v>
      </x:c>
      <x:c r="J2" t="n">
        <x:v>0.541950092189022</x:v>
      </x:c>
      <x:c r="K2" t="n">
        <x:v>0.6285872059794774</x:v>
      </x:c>
      <x:c r="L2" t="n">
        <x:v>0.7303797772600384</x:v>
      </x:c>
      <x:c r="M2" t="n">
        <x:v>0.8136414276657642</x:v>
      </x:c>
      <x:c r="N2" t="n">
        <x:v>0.7636694987451507</x:v>
      </x:c>
      <x:c r="O2" t="n">
        <x:v>0.6198103999568239</x:v>
      </x:c>
      <x:c r="P2" t="n">
        <x:v>0.8595825215068909</x:v>
      </x:c>
    </x:row>
    <x:row r="3">
      <x:c r="A3" s="1" t="inlineStr">
        <x:is>
          <x:t xml:space="preserve">111 | Ba2MgSi2O7</x:t>
        </x:is>
      </x:c>
      <x:c r="B3" t="n">
        <x:v>0.2307677181609152</x:v>
      </x:c>
      <x:c r="C3" t="n">
        <x:v>0</x:v>
      </x:c>
      <x:c r="D3" t="n">
        <x:v>0.3008927360925709</x:v>
      </x:c>
      <x:c r="E3" t="n">
        <x:v>0.2735816278215564</x:v>
      </x:c>
      <x:c r="F3" t="n">
        <x:v>0.388007949721802</x:v>
      </x:c>
      <x:c r="G3" t="n">
        <x:v>0.7498832344878621</x:v>
      </x:c>
      <x:c r="H3" t="n">
        <x:v>0.3217885451182711</x:v>
      </x:c>
      <x:c r="I3" t="n">
        <x:v>0.8795346582990431</x:v>
      </x:c>
      <x:c r="J3" t="n">
        <x:v>0.5667910557466945</x:v>
      </x:c>
      <x:c r="K3" t="n">
        <x:v>0.6337618856766913</x:v>
      </x:c>
      <x:c r="L3" t="n">
        <x:v>0.7679086993404196</x:v>
      </x:c>
      <x:c r="M3" t="n">
        <x:v>0.7901255158997736</x:v>
      </x:c>
      <x:c r="N3" t="n">
        <x:v>0.6708130011256993</x:v>
      </x:c>
      <x:c r="O3" t="n">
        <x:v>0.6620925482171724</x:v>
      </x:c>
      <x:c r="P3" t="n">
        <x:v>0.8632420658430335</x:v>
      </x:c>
    </x:row>
    <x:row r="4">
      <x:c r="A4" s="1" t="inlineStr">
        <x:is>
          <x:t xml:space="preserve">142 | Ba2Ca(BO3)2</x:t>
        </x:is>
      </x:c>
      <x:c r="B4" t="n">
        <x:v>0.3806704894728451</x:v>
      </x:c>
      <x:c r="C4" t="n">
        <x:v>0.3008927360925709</x:v>
      </x:c>
      <x:c r="D4" t="n">
        <x:v>0</x:v>
      </x:c>
      <x:c r="E4" t="n">
        <x:v>0.5135465503144844</x:v>
      </x:c>
      <x:c r="F4" t="n">
        <x:v>0.4860644975507518</x:v>
      </x:c>
      <x:c r="G4" t="n">
        <x:v>0.7329874084053933</x:v>
      </x:c>
      <x:c r="H4" t="n">
        <x:v>0.3573637048216965</x:v>
      </x:c>
      <x:c r="I4" t="n">
        <x:v>0.8861020622942298</x:v>
      </x:c>
      <x:c r="J4" t="n">
        <x:v>0.5982698538985873</x:v>
      </x:c>
      <x:c r="K4" t="n">
        <x:v>0.5926452259416981</x:v>
      </x:c>
      <x:c r="L4" t="n">
        <x:v>0.8381674179288592</x:v>
      </x:c>
      <x:c r="M4" t="n">
        <x:v>0.7825584222187241</x:v>
      </x:c>
      <x:c r="N4" t="n">
        <x:v>0.7819641910092747</x:v>
      </x:c>
      <x:c r="O4" t="n">
        <x:v>0.7858194827272712</x:v>
      </x:c>
      <x:c r="P4" t="n">
        <x:v>0.86188462393776</x:v>
      </x:c>
    </x:row>
    <x:row r="5">
      <x:c r="A5" s="1" t="inlineStr">
        <x:is>
          <x:t xml:space="preserve">144 | Ba2Mg(PO4)2</x:t>
        </x:is>
      </x:c>
      <x:c r="B5" t="n">
        <x:v>0.4369983354110869</x:v>
      </x:c>
      <x:c r="C5" t="n">
        <x:v>0.2735816278215564</x:v>
      </x:c>
      <x:c r="D5" t="n">
        <x:v>0.5135465503144844</x:v>
      </x:c>
      <x:c r="E5" t="n">
        <x:v>0</x:v>
      </x:c>
      <x:c r="F5" t="n">
        <x:v>0.496806234670344</x:v>
      </x:c>
      <x:c r="G5" t="n">
        <x:v>0.8304789138137597</x:v>
      </x:c>
      <x:c r="H5" t="n">
        <x:v>0.5188661426545923</x:v>
      </x:c>
      <x:c r="I5" t="n">
        <x:v>0.967821950585229</x:v>
      </x:c>
      <x:c r="J5" t="n">
        <x:v>0.6636079474448414</x:v>
      </x:c>
      <x:c r="K5" t="n">
        <x:v>0.7232107379833669</x:v>
      </x:c>
      <x:c r="L5" t="n">
        <x:v>0.8264541678869877</x:v>
      </x:c>
      <x:c r="M5" t="n">
        <x:v>0.8569338360528539</x:v>
      </x:c>
      <x:c r="N5" t="n">
        <x:v>0.622866281183583</x:v>
      </x:c>
      <x:c r="O5" t="n">
        <x:v>0.6527504101471912</x:v>
      </x:c>
      <x:c r="P5" t="n">
        <x:v>0.9092588756453579</x:v>
      </x:c>
    </x:row>
    <x:row r="6">
      <x:c r="A6" s="1" t="inlineStr">
        <x:is>
          <x:t xml:space="preserve">153 | Ba3Si6(NO6)2</x:t>
        </x:is>
      </x:c>
      <x:c r="B6" t="n">
        <x:v>0.4197203254453042</x:v>
      </x:c>
      <x:c r="C6" t="n">
        <x:v>0.388007949721802</x:v>
      </x:c>
      <x:c r="D6" t="n">
        <x:v>0.4860644975507518</x:v>
      </x:c>
      <x:c r="E6" t="n">
        <x:v>0.496806234670344</x:v>
      </x:c>
      <x:c r="F6" t="n">
        <x:v>0</x:v>
      </x:c>
      <x:c r="G6" t="n">
        <x:v>0.662613865690946</x:v>
      </x:c>
      <x:c r="H6" t="n">
        <x:v>0.4981428510203824</x:v>
      </x:c>
      <x:c r="I6" t="n">
        <x:v>0.8917596093454957</x:v>
      </x:c>
      <x:c r="J6" t="n">
        <x:v>0.7026394277351553</x:v>
      </x:c>
      <x:c r="K6" t="n">
        <x:v>0.7220381959646508</x:v>
      </x:c>
      <x:c r="L6" t="n">
        <x:v>0.7078307269018296</x:v>
      </x:c>
      <x:c r="M6" t="n">
        <x:v>0.7436759624299235</x:v>
      </x:c>
      <x:c r="N6" t="n">
        <x:v>0.7883617205934381</x:v>
      </x:c>
      <x:c r="O6" t="n">
        <x:v>0.7084898610296196</x:v>
      </x:c>
      <x:c r="P6" t="n">
        <x:v>1</x:v>
      </x:c>
    </x:row>
    <x:row r="7">
      <x:c r="A7" s="1" t="inlineStr">
        <x:is>
          <x:t xml:space="preserve">157 | BaNa(B3O5)3</x:t>
        </x:is>
      </x:c>
      <x:c r="B7" t="n">
        <x:v>0.7209247294953498</x:v>
      </x:c>
      <x:c r="C7" t="n">
        <x:v>0.7498832344878621</x:v>
      </x:c>
      <x:c r="D7" t="n">
        <x:v>0.7329874084053933</x:v>
      </x:c>
      <x:c r="E7" t="n">
        <x:v>0.8304789138137597</x:v>
      </x:c>
      <x:c r="F7" t="n">
        <x:v>0.662613865690946</x:v>
      </x:c>
      <x:c r="G7" t="n">
        <x:v>0</x:v>
      </x:c>
      <x:c r="H7" t="n">
        <x:v>0.8848920036366758</x:v>
      </x:c>
      <x:c r="I7" t="n">
        <x:v>0.8184782011728171</x:v>
      </x:c>
      <x:c r="J7" t="n">
        <x:v>0.6554073644330448</x:v>
      </x:c>
      <x:c r="K7" t="n">
        <x:v>0.7391275912678903</x:v>
      </x:c>
      <x:c r="L7" t="n">
        <x:v>0.682992692573851</x:v>
      </x:c>
      <x:c r="M7" t="n">
        <x:v>0.6905418018709799</x:v>
      </x:c>
      <x:c r="N7" t="n">
        <x:v>0.8404421106257812</x:v>
      </x:c>
      <x:c r="O7" t="n">
        <x:v>0.7990388556513949</x:v>
      </x:c>
      <x:c r="P7" t="n">
        <x:v>0.8264507783851477</x:v>
      </x:c>
    </x:row>
    <x:row r="8">
      <x:c r="A8" s="1" t="inlineStr">
        <x:is>
          <x:t xml:space="preserve">180 | Ba6Y2Al4O15</x:t>
        </x:is>
      </x:c>
      <x:c r="B8" t="n">
        <x:v>0.3728031992333799</x:v>
      </x:c>
      <x:c r="C8" t="n">
        <x:v>0.3217885451182711</x:v>
      </x:c>
      <x:c r="D8" t="n">
        <x:v>0.3573637048216965</x:v>
      </x:c>
      <x:c r="E8" t="n">
        <x:v>0.5188661426545923</x:v>
      </x:c>
      <x:c r="F8" t="n">
        <x:v>0.4981428510203824</x:v>
      </x:c>
      <x:c r="G8" t="n">
        <x:v>0.8848920036366758</x:v>
      </x:c>
      <x:c r="H8" t="n">
        <x:v>0</x:v>
      </x:c>
      <x:c r="I8" t="n">
        <x:v>0.9179575928117684</x:v>
      </x:c>
      <x:c r="J8" t="n">
        <x:v>0.590601734281369</x:v>
      </x:c>
      <x:c r="K8" t="n">
        <x:v>0.709972941365503</x:v>
      </x:c>
      <x:c r="L8" t="n">
        <x:v>0.7587467715540123</x:v>
      </x:c>
      <x:c r="M8" t="n">
        <x:v>0.8511604758583989</x:v>
      </x:c>
      <x:c r="N8" t="n">
        <x:v>0.7737565648696829</x:v>
      </x:c>
      <x:c r="O8" t="n">
        <x:v>0.7614245912039421</x:v>
      </x:c>
      <x:c r="P8" t="n">
        <x:v>0.9395223788451815</x:v>
      </x:c>
    </x:row>
    <x:row r="9">
      <x:c r="A9" s="1" t="inlineStr">
        <x:is>
          <x:t xml:space="preserve">14 | K2RbNaLi12(SiO4)4</x:t>
        </x:is>
      </x:c>
      <x:c r="B9" t="n">
        <x:v>0.8545484994088384</x:v>
      </x:c>
      <x:c r="C9" t="n">
        <x:v>0.8795346582990431</x:v>
      </x:c>
      <x:c r="D9" t="n">
        <x:v>0.8861020622942298</x:v>
      </x:c>
      <x:c r="E9" t="n">
        <x:v>0.967821950585229</x:v>
      </x:c>
      <x:c r="F9" t="n">
        <x:v>0.8917596093454957</x:v>
      </x:c>
      <x:c r="G9" t="n">
        <x:v>0.8184782011728171</x:v>
      </x:c>
      <x:c r="H9" t="n">
        <x:v>0.9179575928117681</x:v>
      </x:c>
      <x:c r="I9" t="n">
        <x:v>0</x:v>
      </x:c>
      <x:c r="J9" t="n">
        <x:v>0.595646453546519</x:v>
      </x:c>
      <x:c r="K9" t="n">
        <x:v>0.505865742646326</x:v>
      </x:c>
      <x:c r="L9" t="n">
        <x:v>0.4933108025092627</x:v>
      </x:c>
      <x:c r="M9" t="n">
        <x:v>0.320043886792419</x:v>
      </x:c>
      <x:c r="N9" t="n">
        <x:v>0.7316981625310938</x:v>
      </x:c>
      <x:c r="O9" t="n">
        <x:v>0.5747862981570692</x:v>
      </x:c>
      <x:c r="P9" t="n">
        <x:v>0.3861856498797572</x:v>
      </x:c>
    </x:row>
    <x:row r="10">
      <x:c r="A10" s="1" t="inlineStr">
        <x:is>
          <x:t xml:space="preserve">15 | Rb2ZrSi2O7</x:t>
        </x:is>
      </x:c>
      <x:c r="B10" t="n">
        <x:v>0.5419500921890219</x:v>
      </x:c>
      <x:c r="C10" t="n">
        <x:v>0.5667910557466945</x:v>
      </x:c>
      <x:c r="D10" t="n">
        <x:v>0.5982698538985873</x:v>
      </x:c>
      <x:c r="E10" t="n">
        <x:v>0.6636079474448414</x:v>
      </x:c>
      <x:c r="F10" t="n">
        <x:v>0.7026394277351553</x:v>
      </x:c>
      <x:c r="G10" t="n">
        <x:v>0.6554073644330448</x:v>
      </x:c>
      <x:c r="H10" t="n">
        <x:v>0.590601734281369</x:v>
      </x:c>
      <x:c r="I10" t="n">
        <x:v>0.595646453546519</x:v>
      </x:c>
      <x:c r="J10" t="n">
        <x:v>0</x:v>
      </x:c>
      <x:c r="K10" t="n">
        <x:v>0.4367583749002994</x:v>
      </x:c>
      <x:c r="L10" t="n">
        <x:v>0.5146266341928634</x:v>
      </x:c>
      <x:c r="M10" t="n">
        <x:v>0.617173678515576</x:v>
      </x:c>
      <x:c r="N10" t="n">
        <x:v>0.4517636207497089</x:v>
      </x:c>
      <x:c r="O10" t="n">
        <x:v>0.4729567839507712</x:v>
      </x:c>
      <x:c r="P10" t="n">
        <x:v>0.5397519183310411</x:v>
      </x:c>
    </x:row>
    <x:row r="11">
      <x:c r="A11" s="1" t="inlineStr">
        <x:is>
          <x:t xml:space="preserve">16 | Sr2LiSiO4F</x:t>
        </x:is>
      </x:c>
      <x:c r="B11" t="n">
        <x:v>0.6285872059794774</x:v>
      </x:c>
      <x:c r="C11" t="n">
        <x:v>0.6337618856766913</x:v>
      </x:c>
      <x:c r="D11" t="n">
        <x:v>0.5926452259416981</x:v>
      </x:c>
      <x:c r="E11" t="n">
        <x:v>0.7232107379833669</x:v>
      </x:c>
      <x:c r="F11" t="n">
        <x:v>0.7220381959646508</x:v>
      </x:c>
      <x:c r="G11" t="n">
        <x:v>0.7391275912678903</x:v>
      </x:c>
      <x:c r="H11" t="n">
        <x:v>0.709972941365503</x:v>
      </x:c>
      <x:c r="I11" t="n">
        <x:v>0.505865742646326</x:v>
      </x:c>
      <x:c r="J11" t="n">
        <x:v>0.4367583749002994</x:v>
      </x:c>
      <x:c r="K11" t="n">
        <x:v>0</x:v>
      </x:c>
      <x:c r="L11" t="n">
        <x:v>0.6335172436810963</x:v>
      </x:c>
      <x:c r="M11" t="n">
        <x:v>0.5291535529564718</x:v>
      </x:c>
      <x:c r="N11" t="n">
        <x:v>0.6206329644341548</x:v>
      </x:c>
      <x:c r="O11" t="n">
        <x:v>0.4400259865256679</x:v>
      </x:c>
      <x:c r="P11" t="n">
        <x:v>0.5136228562207932</x:v>
      </x:c>
    </x:row>
    <x:row r="12">
      <x:c r="A12" s="1" t="inlineStr">
        <x:is>
          <x:t xml:space="preserve">95 | Na3YSi2O7</x:t>
        </x:is>
      </x:c>
      <x:c r="B12" t="n">
        <x:v>0.7303797772600384</x:v>
      </x:c>
      <x:c r="C12" t="n">
        <x:v>0.7679086993404196</x:v>
      </x:c>
      <x:c r="D12" t="n">
        <x:v>0.8381674179288592</x:v>
      </x:c>
      <x:c r="E12" t="n">
        <x:v>0.8264541678869877</x:v>
      </x:c>
      <x:c r="F12" t="n">
        <x:v>0.7078307269018296</x:v>
      </x:c>
      <x:c r="G12" t="n">
        <x:v>0.682992692573851</x:v>
      </x:c>
      <x:c r="H12" t="n">
        <x:v>0.7587467715540123</x:v>
      </x:c>
      <x:c r="I12" t="n">
        <x:v>0.4933108025092627</x:v>
      </x:c>
      <x:c r="J12" t="n">
        <x:v>0.5146266341928634</x:v>
      </x:c>
      <x:c r="K12" t="n">
        <x:v>0.6335172436810963</x:v>
      </x:c>
      <x:c r="L12" t="n">
        <x:v>0</x:v>
      </x:c>
      <x:c r="M12" t="n">
        <x:v>0.4564768968074586</x:v>
      </x:c>
      <x:c r="N12" t="n">
        <x:v>0.694951726283726</x:v>
      </x:c>
      <x:c r="O12" t="n">
        <x:v>0.4838060990409067</x:v>
      </x:c>
      <x:c r="P12" t="n">
        <x:v>0.6332026309264314</x:v>
      </x:c>
    </x:row>
    <x:row r="13">
      <x:c r="A13" s="1" t="inlineStr">
        <x:is>
          <x:t xml:space="preserve">171 | BaLi2SiO4</x:t>
        </x:is>
      </x:c>
      <x:c r="B13" t="n">
        <x:v>0.8136414276657642</x:v>
      </x:c>
      <x:c r="C13" t="n">
        <x:v>0.7901255158997736</x:v>
      </x:c>
      <x:c r="D13" t="n">
        <x:v>0.7825584222187241</x:v>
      </x:c>
      <x:c r="E13" t="n">
        <x:v>0.8569338360528539</x:v>
      </x:c>
      <x:c r="F13" t="n">
        <x:v>0.7436759624299235</x:v>
      </x:c>
      <x:c r="G13" t="n">
        <x:v>0.6905418018709799</x:v>
      </x:c>
      <x:c r="H13" t="n">
        <x:v>0.8511604758583989</x:v>
      </x:c>
      <x:c r="I13" t="n">
        <x:v>0.320043886792419</x:v>
      </x:c>
      <x:c r="J13" t="n">
        <x:v>0.617173678515576</x:v>
      </x:c>
      <x:c r="K13" t="n">
        <x:v>0.5291535529564718</x:v>
      </x:c>
      <x:c r="L13" t="n">
        <x:v>0.4564768968074586</x:v>
      </x:c>
      <x:c r="M13" t="n">
        <x:v>0</x:v>
      </x:c>
      <x:c r="N13" t="n">
        <x:v>0.6836761192374955</x:v>
      </x:c>
      <x:c r="O13" t="n">
        <x:v>0.6098212305157579</x:v>
      </x:c>
      <x:c r="P13" t="n">
        <x:v>0.49530739556236</x:v>
      </x:c>
    </x:row>
    <x:row r="14">
      <x:c r="A14" s="1" t="inlineStr">
        <x:is>
          <x:t xml:space="preserve">199 | Cs2BaP2O7</x:t>
        </x:is>
      </x:c>
      <x:c r="B14" t="n">
        <x:v>0.7636694987451507</x:v>
      </x:c>
      <x:c r="C14" t="n">
        <x:v>0.6708130011256993</x:v>
      </x:c>
      <x:c r="D14" t="n">
        <x:v>0.7819641910092748</x:v>
      </x:c>
      <x:c r="E14" t="n">
        <x:v>0.622866281183583</x:v>
      </x:c>
      <x:c r="F14" t="n">
        <x:v>0.7883617205934383</x:v>
      </x:c>
      <x:c r="G14" t="n">
        <x:v>0.8404421106257812</x:v>
      </x:c>
      <x:c r="H14" t="n">
        <x:v>0.7737565648696829</x:v>
      </x:c>
      <x:c r="I14" t="n">
        <x:v>0.7316981625310938</x:v>
      </x:c>
      <x:c r="J14" t="n">
        <x:v>0.4517636207497089</x:v>
      </x:c>
      <x:c r="K14" t="n">
        <x:v>0.6206329644341548</x:v>
      </x:c>
      <x:c r="L14" t="n">
        <x:v>0.694951726283726</x:v>
      </x:c>
      <x:c r="M14" t="n">
        <x:v>0.6836761192374955</x:v>
      </x:c>
      <x:c r="N14" t="n">
        <x:v>0</x:v>
      </x:c>
      <x:c r="O14" t="n">
        <x:v>0.5737471520078696</x:v>
      </x:c>
      <x:c r="P14" t="n">
        <x:v>0.6759898177523974</x:v>
      </x:c>
    </x:row>
    <x:row r="15">
      <x:c r="A15" s="1" t="inlineStr">
        <x:is>
          <x:t xml:space="preserve">261 | NaCaPO4</x:t>
        </x:is>
      </x:c>
      <x:c r="B15" t="n">
        <x:v>0.6198103999568239</x:v>
      </x:c>
      <x:c r="C15" t="n">
        <x:v>0.6620925482171723</x:v>
      </x:c>
      <x:c r="D15" t="n">
        <x:v>0.7858194827272713</x:v>
      </x:c>
      <x:c r="E15" t="n">
        <x:v>0.6527504101471912</x:v>
      </x:c>
      <x:c r="F15" t="n">
        <x:v>0.7084898610296196</x:v>
      </x:c>
      <x:c r="G15" t="n">
        <x:v>0.7990388556513949</x:v>
      </x:c>
      <x:c r="H15" t="n">
        <x:v>0.7614245912039421</x:v>
      </x:c>
      <x:c r="I15" t="n">
        <x:v>0.5747862981570692</x:v>
      </x:c>
      <x:c r="J15" t="n">
        <x:v>0.4729567839507712</x:v>
      </x:c>
      <x:c r="K15" t="n">
        <x:v>0.4400259865256679</x:v>
      </x:c>
      <x:c r="L15" t="n">
        <x:v>0.4838060990409067</x:v>
      </x:c>
      <x:c r="M15" t="n">
        <x:v>0.6098212305157579</x:v>
      </x:c>
      <x:c r="N15" t="n">
        <x:v>0.5737471520078696</x:v>
      </x:c>
      <x:c r="O15" t="n">
        <x:v>0</x:v>
      </x:c>
      <x:c r="P15" t="n">
        <x:v>0.6011131014219105</x:v>
      </x:c>
    </x:row>
    <x:row r="16">
      <x:c r="A16" s="1" t="inlineStr">
        <x:is>
          <x:t xml:space="preserve">283 | RbLi7(SiO4)2</x:t>
        </x:is>
      </x:c>
      <x:c r="B16" t="n">
        <x:v>0.8595825215068909</x:v>
      </x:c>
      <x:c r="C16" t="n">
        <x:v>0.8632420658430335</x:v>
      </x:c>
      <x:c r="D16" t="n">
        <x:v>0.86188462393776</x:v>
      </x:c>
      <x:c r="E16" t="n">
        <x:v>0.9092588756453579</x:v>
      </x:c>
      <x:c r="F16" t="n">
        <x:v>1</x:v>
      </x:c>
      <x:c r="G16" t="n">
        <x:v>0.8264507783851477</x:v>
      </x:c>
      <x:c r="H16" t="n">
        <x:v>0.9395223788451815</x:v>
      </x:c>
      <x:c r="I16" t="n">
        <x:v>0.3861856498797572</x:v>
      </x:c>
      <x:c r="J16" t="n">
        <x:v>0.5397519183310411</x:v>
      </x:c>
      <x:c r="K16" t="n">
        <x:v>0.5136228562207932</x:v>
      </x:c>
      <x:c r="L16" t="n">
        <x:v>0.6332026309264314</x:v>
      </x:c>
      <x:c r="M16" t="n">
        <x:v>0.49530739556236</x:v>
      </x:c>
      <x:c r="N16" t="n">
        <x:v>0.6759898177523974</x:v>
      </x:c>
      <x:c r="O16" t="n">
        <x:v>0.6011131014219105</x:v>
      </x:c>
      <x:c r="P16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Metric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Number_of_benchmarks</x:t>
        </x:is>
      </x:c>
      <x:c r="B2" t="n">
        <x:v>15</x:v>
      </x:c>
    </x:row>
    <x:row r="3">
      <x:c r="A3" t="inlineStr">
        <x:is>
          <x:t xml:space="preserve">Number_of_unique_pairs</x:t>
        </x:is>
      </x:c>
      <x:c r="B3" t="n">
        <x:v>105</x:v>
      </x:c>
    </x:row>
    <x:row r="4">
      <x:c r="A4" t="inlineStr">
        <x:is>
          <x:t xml:space="preserve">Maximum_raw_distance</x:t>
        </x:is>
      </x:c>
      <x:c r="B4" t="n">
        <x:v>2.768576618601289</x:v>
      </x:c>
    </x:row>
    <x:row r="5">
      <x:c r="A5" t="inlineStr">
        <x:is>
          <x:t xml:space="preserve">Mean_raw_distance_all_pairs</x:t>
        </x:is>
      </x:c>
      <x:c r="B5" t="n">
        <x:v>1.805654758073256</x:v>
      </x:c>
    </x:row>
    <x:row r="6">
      <x:c r="A6" t="inlineStr">
        <x:is>
          <x:t xml:space="preserve">Median_raw_distance_all_pairs</x:t>
        </x:is>
      </x:c>
      <x:c r="B6" t="n">
        <x:v>1.837249447213781</x:v>
      </x:c>
    </x:row>
    <x:row r="7">
      <x:c r="A7" t="inlineStr">
        <x:is>
          <x:t xml:space="preserve">Mean_raw_distance_same_cluster</x:t>
        </x:is>
      </x:c>
      <x:c r="B7" t="n">
        <x:v>1.461323323331901</x:v>
      </x:c>
    </x:row>
    <x:row r="8">
      <x:c r="A8" t="inlineStr">
        <x:is>
          <x:t xml:space="preserve">Median_raw_distance_same_cluster</x:t>
        </x:is>
      </x:c>
      <x:c r="B8" t="n">
        <x:v>1.421792971764032</x:v>
      </x:c>
    </x:row>
    <x:row r="9">
      <x:c r="A9" t="inlineStr">
        <x:is>
          <x:t xml:space="preserve">Mean_raw_distance_different_cluster</x:t>
        </x:is>
      </x:c>
      <x:c r="B9" t="n">
        <x:v>2.106944763471942</x:v>
      </x:c>
    </x:row>
    <x:row r="10">
      <x:c r="A10" t="inlineStr">
        <x:is>
          <x:t xml:space="preserve">Median_raw_distance_different_cluster</x:t>
        </x:is>
      </x:c>
      <x:c r="B10" t="n">
        <x:v>2.120145794389602</x:v>
      </x:c>
    </x:row>
    <x:row r="11">
      <x:c r="A11" t="inlineStr">
        <x:is>
          <x:t xml:space="preserve">Mean_normalized_distance_all_pairs</x:t>
        </x:is>
      </x:c>
      <x:c r="B11" t="n">
        <x:v>0.6521960584155657</x:v>
      </x:c>
    </x:row>
    <x:row r="12">
      <x:c r="A12" t="inlineStr">
        <x:is>
          <x:t xml:space="preserve">Median_normalized_distance_all_pairs</x:t>
        </x:is>
      </x:c>
      <x:c r="B12" t="n">
        <x:v>0.6636079474448414</x:v>
      </x:c>
    </x:row>
    <x:row r="13">
      <x:c r="A13" t="inlineStr">
        <x:is>
          <x:t xml:space="preserve">Mean_normalized_distance_same_cluster</x:t>
        </x:is>
      </x:c>
      <x:c r="B13" t="n">
        <x:v>0.5278247723085138</x:v>
      </x:c>
    </x:row>
    <x:row r="14">
      <x:c r="A14" t="inlineStr">
        <x:is>
          <x:t xml:space="preserve">Median_normalized_distance_same_cluster</x:t>
        </x:is>
      </x:c>
      <x:c r="B14" t="n">
        <x:v>0.5135465503144844</x:v>
      </x:c>
    </x:row>
    <x:row r="15">
      <x:c r="A15" t="inlineStr">
        <x:is>
          <x:t xml:space="preserve">Mean_normalized_distance_different_cluster</x:t>
        </x:is>
      </x:c>
      <x:c r="B15" t="n">
        <x:v>0.7610209337592362</x:v>
      </x:c>
    </x:row>
    <x:row r="16">
      <x:c r="A16" t="inlineStr">
        <x:is>
          <x:t xml:space="preserve">Median_normalized_distance_different_cluster</x:t>
        </x:is>
      </x:c>
      <x:c r="B16" t="n">
        <x:v>0.7657890990427851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4" hidden="0" customWidth="1"/>
  </x:cols>
  <x:sheetData>
    <x:row r="1">
      <x:c r="A1" s="12" t="str">
        <x:v>Composition</x:v>
      </x:c>
      <x:c r="B1" s="13" t="str">
        <x:v>FWHM_nm</x:v>
      </x:c>
    </x:row>
    <x:row r="2">
      <x:c r="A2" s="14" t="str">
        <x:v>Ba2Ca(BO3)2</x:v>
      </x:c>
      <x:c r="B2" s="15" t="n">
        <x:v>75</x:v>
      </x:c>
    </x:row>
    <x:row r="3">
      <x:c r="A3" s="14" t="str">
        <x:v>Ba2Mg(PO4)2</x:v>
      </x:c>
      <x:c r="B3" s="15" t="n">
        <x:v>120</x:v>
      </x:c>
    </x:row>
    <x:row r="4">
      <x:c r="A4" s="14" t="str">
        <x:v>Ba2MgSi2O7</x:v>
      </x:c>
      <x:c r="B4" s="15" t="n">
        <x:v>75</x:v>
      </x:c>
    </x:row>
    <x:row r="5">
      <x:c r="A5" s="14" t="str">
        <x:v>Ba3Si6(NO6)2</x:v>
      </x:c>
      <x:c r="B5" s="15" t="n">
        <x:v>68</x:v>
      </x:c>
    </x:row>
    <x:row r="6">
      <x:c r="A6" s="14" t="str">
        <x:v>Ba6Y2Al4O15</x:v>
      </x:c>
      <x:c r="B6" s="15" t="n">
        <x:v>69</x:v>
      </x:c>
    </x:row>
    <x:row r="7">
      <x:c r="A7" s="14" t="str">
        <x:v>BaLi2SiO4</x:v>
      </x:c>
      <x:c r="B7" s="15" t="n">
        <x:v>61</x:v>
      </x:c>
    </x:row>
    <x:row r="8">
      <x:c r="A8" s="14" t="str">
        <x:v>BaNa(B3O5)3</x:v>
      </x:c>
      <x:c r="B8" s="15" t="n">
        <x:v>61</x:v>
      </x:c>
    </x:row>
    <x:row r="9">
      <x:c r="A9" s="14" t="str">
        <x:v>Cs2BaP2O7</x:v>
      </x:c>
      <x:c r="B9" s="15" t="n">
        <x:v>100</x:v>
      </x:c>
    </x:row>
    <x:row r="10">
      <x:c r="A10" s="14" t="str">
        <x:v>K2RbNaLi12(SiO4)4</x:v>
      </x:c>
      <x:c r="B10" s="15" t="n">
        <x:v>51</x:v>
      </x:c>
    </x:row>
    <x:row r="11">
      <x:c r="A11" s="14" t="str">
        <x:v>Na3YSi2O7</x:v>
      </x:c>
      <x:c r="B11" s="15" t="n">
        <x:v>105</x:v>
      </x:c>
    </x:row>
    <x:row r="12">
      <x:c r="A12" s="14" t="str">
        <x:v>NaCaPO4</x:v>
      </x:c>
      <x:c r="B12" s="15" t="n">
        <x:v>65</x:v>
      </x:c>
    </x:row>
    <x:row r="13">
      <x:c r="A13" s="14" t="str">
        <x:v>Rb2ZrSi2O7</x:v>
      </x:c>
      <x:c r="B13" s="15" t="n">
        <x:v>91</x:v>
      </x:c>
    </x:row>
    <x:row r="14">
      <x:c r="A14" s="14" t="str">
        <x:v>RbLi7(SiO4)2</x:v>
      </x:c>
      <x:c r="B14" s="15" t="n">
        <x:v>42</x:v>
      </x:c>
    </x:row>
    <x:row r="15">
      <x:c r="A15" s="14" t="str">
        <x:v>Sr2LiSiO4F</x:v>
      </x:c>
      <x:c r="B15" s="15" t="n">
        <x:v>100</x:v>
      </x:c>
    </x:row>
    <x:row r="16">
      <x:c r="A16" s="16" t="str">
        <x:v>SrAl2O4</x:v>
      </x:c>
      <x:c r="B16" s="17" t="n">
        <x:v>77</x:v>
      </x:c>
    </x:row>
  </x:sheetData>
  <x:pageMargins left="0.7" right="0.7" top="0.75" bottom="0.75" header="0.3" footer="0.3"/>
</x:worksheet>
</file>