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Feature_analysis\"/>
    </mc:Choice>
  </mc:AlternateContent>
  <xr:revisionPtr revIDLastSave="0" documentId="13_ncr:1_{05A3481F-1848-4431-8095-6FF5B0EBE61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tage1" sheetId="1" r:id="rId1"/>
    <sheet name="stage2" sheetId="2" r:id="rId2"/>
    <sheet name="stage3" sheetId="3" r:id="rId3"/>
    <sheet name="stage4" sheetId="4" r:id="rId4"/>
    <sheet name="stage5_deyb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31" i="2" l="1"/>
  <c r="BL12" i="5"/>
  <c r="AY12" i="5"/>
  <c r="AV12" i="5"/>
  <c r="AJ12" i="5"/>
  <c r="AI12" i="5"/>
  <c r="AE12" i="5"/>
  <c r="AD12" i="5"/>
  <c r="AB12" i="5"/>
  <c r="AA12" i="5"/>
  <c r="Z12" i="5"/>
  <c r="U12" i="5"/>
  <c r="S12" i="5"/>
  <c r="Q12" i="5"/>
  <c r="O12" i="5"/>
  <c r="M12" i="5"/>
  <c r="L12" i="5"/>
  <c r="J12" i="5"/>
  <c r="I12" i="5"/>
  <c r="H12" i="5"/>
  <c r="G12" i="5"/>
  <c r="F12" i="5"/>
  <c r="AQ12" i="5"/>
  <c r="N12" i="5"/>
  <c r="K12" i="5"/>
  <c r="CJ42" i="4"/>
  <c r="CI42" i="4"/>
  <c r="CH42" i="4"/>
  <c r="CF42" i="4"/>
  <c r="CE42" i="4"/>
  <c r="CD42" i="4"/>
  <c r="CC42" i="4"/>
  <c r="CB42" i="4"/>
  <c r="BZ42" i="4"/>
  <c r="BQ42" i="4"/>
  <c r="BP42" i="4"/>
  <c r="BO42" i="4"/>
  <c r="BN42" i="4"/>
  <c r="BM42" i="4"/>
  <c r="BL42" i="4"/>
  <c r="BK42" i="4"/>
  <c r="BJ42" i="4"/>
  <c r="BG42" i="4"/>
  <c r="BE42" i="4"/>
  <c r="BD42" i="4"/>
  <c r="BC42" i="4"/>
  <c r="BB42" i="4"/>
  <c r="BA42" i="4"/>
  <c r="AZ42" i="4"/>
  <c r="AY42" i="4"/>
  <c r="AX42" i="4"/>
  <c r="AW42" i="4"/>
  <c r="AV42" i="4"/>
  <c r="AT42" i="4"/>
  <c r="AR42" i="4"/>
  <c r="AQ42" i="4"/>
  <c r="AP42" i="4"/>
  <c r="AO42" i="4"/>
  <c r="AM42" i="4"/>
  <c r="AL42" i="4"/>
  <c r="AJ42" i="4"/>
  <c r="AI42" i="4"/>
  <c r="AF42" i="4"/>
  <c r="AE42" i="4"/>
  <c r="AD42" i="4"/>
  <c r="AC42" i="4"/>
  <c r="AB42" i="4"/>
  <c r="AA42" i="4"/>
  <c r="Z42" i="4"/>
  <c r="Y42" i="4"/>
  <c r="W42" i="4"/>
  <c r="V42" i="4"/>
  <c r="U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C42" i="4"/>
  <c r="CD18" i="3"/>
  <c r="BQ18" i="3"/>
  <c r="BP18" i="3"/>
  <c r="BL18" i="3"/>
  <c r="BC18" i="3"/>
  <c r="BB18" i="3"/>
  <c r="BA18" i="3"/>
  <c r="AY18" i="3"/>
  <c r="AW18" i="3"/>
  <c r="AV18" i="3"/>
  <c r="AT18" i="3"/>
  <c r="AR18" i="3"/>
  <c r="AQ18" i="3"/>
  <c r="AP18" i="3"/>
  <c r="AO18" i="3"/>
  <c r="AM18" i="3"/>
  <c r="AL18" i="3"/>
  <c r="AJ18" i="3"/>
  <c r="AI18" i="3"/>
  <c r="AE18" i="3"/>
  <c r="AD18" i="3"/>
  <c r="AB18" i="3"/>
  <c r="AA18" i="3"/>
  <c r="Z18" i="3"/>
  <c r="X18" i="3"/>
  <c r="W18" i="3"/>
  <c r="V18" i="3"/>
  <c r="U18" i="3"/>
  <c r="T18" i="3"/>
  <c r="S18" i="3"/>
  <c r="R18" i="3"/>
  <c r="Q18" i="3"/>
  <c r="P18" i="3"/>
  <c r="N18" i="3"/>
  <c r="M18" i="3"/>
  <c r="J18" i="3"/>
  <c r="I18" i="3"/>
  <c r="H18" i="3"/>
  <c r="G18" i="3"/>
  <c r="F18" i="3"/>
  <c r="D18" i="3"/>
  <c r="C18" i="3"/>
  <c r="BQ31" i="2"/>
  <c r="BP31" i="2"/>
  <c r="BM31" i="2"/>
  <c r="BL31" i="2"/>
  <c r="BC31" i="2"/>
  <c r="BB31" i="2"/>
  <c r="BA31" i="2"/>
  <c r="AZ31" i="2"/>
  <c r="AY31" i="2"/>
  <c r="AX31" i="2"/>
  <c r="AW31" i="2"/>
  <c r="AV31" i="2"/>
  <c r="AQ31" i="2"/>
  <c r="AL31" i="2"/>
  <c r="AJ31" i="2"/>
  <c r="AI31" i="2"/>
  <c r="AF31" i="2"/>
  <c r="AE31" i="2"/>
  <c r="AD31" i="2"/>
  <c r="AC31" i="2"/>
  <c r="AB31" i="2"/>
  <c r="AA31" i="2"/>
  <c r="Z31" i="2"/>
  <c r="X31" i="2"/>
  <c r="V31" i="2"/>
  <c r="U31" i="2"/>
  <c r="S31" i="2"/>
  <c r="Q31" i="2"/>
  <c r="N31" i="2"/>
  <c r="M31" i="2"/>
  <c r="J31" i="2"/>
  <c r="I31" i="2"/>
  <c r="H31" i="2"/>
  <c r="G31" i="2"/>
  <c r="F31" i="2"/>
  <c r="C31" i="2"/>
  <c r="CF18" i="1"/>
  <c r="CD18" i="1"/>
  <c r="BQ18" i="1"/>
  <c r="BP18" i="1"/>
  <c r="BB18" i="1"/>
  <c r="AY18" i="1"/>
  <c r="AX18" i="1"/>
  <c r="AW18" i="1"/>
  <c r="AV18" i="1"/>
  <c r="AQ18" i="1"/>
  <c r="AP18" i="1"/>
  <c r="AJ18" i="1"/>
  <c r="AI18" i="1"/>
  <c r="AE18" i="1"/>
  <c r="AD18" i="1"/>
  <c r="AC18" i="1"/>
  <c r="AB18" i="1"/>
  <c r="AA18" i="1"/>
  <c r="Z18" i="1"/>
  <c r="U18" i="1"/>
  <c r="T18" i="1"/>
  <c r="S18" i="1"/>
  <c r="Q18" i="1"/>
  <c r="N18" i="1"/>
  <c r="M18" i="1"/>
  <c r="J18" i="1"/>
  <c r="I18" i="1"/>
  <c r="G18" i="1"/>
  <c r="F18" i="1"/>
  <c r="CK42" i="4"/>
  <c r="CG42" i="4"/>
  <c r="CA42" i="4"/>
  <c r="BU42" i="4"/>
  <c r="BT42" i="4"/>
  <c r="BR42" i="4"/>
  <c r="BI42" i="4"/>
  <c r="BH42" i="4"/>
  <c r="CJ31" i="2"/>
  <c r="CI31" i="2"/>
  <c r="CH31" i="2"/>
  <c r="CG31" i="2"/>
  <c r="CF31" i="2"/>
  <c r="CE31" i="2"/>
  <c r="CC31" i="2"/>
  <c r="CB31" i="2"/>
  <c r="CA31" i="2"/>
  <c r="BZ31" i="2"/>
  <c r="BO31" i="2"/>
  <c r="BN31" i="2"/>
  <c r="BK31" i="2"/>
  <c r="BJ31" i="2"/>
  <c r="BI31" i="2"/>
  <c r="BH31" i="2"/>
  <c r="BG31" i="2"/>
  <c r="BE31" i="2"/>
  <c r="BD31" i="2"/>
  <c r="AU31" i="2"/>
  <c r="AT31" i="2"/>
  <c r="AR31" i="2"/>
  <c r="AN31" i="2"/>
  <c r="AG31" i="2"/>
  <c r="W31" i="2"/>
  <c r="T31" i="2"/>
  <c r="R31" i="2"/>
  <c r="P31" i="2"/>
</calcChain>
</file>

<file path=xl/sharedStrings.xml><?xml version="1.0" encoding="utf-8"?>
<sst xmlns="http://schemas.openxmlformats.org/spreadsheetml/2006/main" count="546" uniqueCount="121">
  <si>
    <t>PC1</t>
  </si>
  <si>
    <t>PC2</t>
  </si>
  <si>
    <t>PC3</t>
  </si>
  <si>
    <t>PC4</t>
  </si>
  <si>
    <t>PC5</t>
  </si>
  <si>
    <t>Kmeans</t>
    <phoneticPr fontId="1" type="noConversion"/>
  </si>
  <si>
    <t>GMM</t>
    <phoneticPr fontId="1" type="noConversion"/>
  </si>
  <si>
    <t>SPC</t>
    <phoneticPr fontId="1" type="noConversion"/>
  </si>
  <si>
    <t>DBSCAN</t>
    <phoneticPr fontId="1" type="noConversion"/>
  </si>
  <si>
    <t>Birch</t>
    <phoneticPr fontId="1" type="noConversion"/>
  </si>
  <si>
    <t>PC6</t>
  </si>
  <si>
    <t>Ward</t>
    <phoneticPr fontId="1" type="noConversion"/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</si>
  <si>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</si>
  <si>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</si>
  <si>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</si>
  <si>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</si>
  <si>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</si>
  <si>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</si>
  <si>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</si>
  <si>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</si>
  <si>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</si>
  <si>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</si>
  <si>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</si>
  <si>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</si>
  <si>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</si>
  <si>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band_gap</t>
  </si>
  <si>
    <t>vbm</t>
  </si>
  <si>
    <t>efermi</t>
  </si>
  <si>
    <t>density</t>
  </si>
  <si>
    <t>MagpieData mean MendeleevNumber</t>
  </si>
  <si>
    <t>MagpieData minimum AtomicWeight</t>
  </si>
  <si>
    <t>MagpieData minimum Column</t>
  </si>
  <si>
    <t>MagpieData range Column</t>
  </si>
  <si>
    <t>MagpieData range Row</t>
  </si>
  <si>
    <t>MagpieData avg_dev Row</t>
  </si>
  <si>
    <t>MagpieData minimum Electronegativity</t>
  </si>
  <si>
    <t>MagpieData range Electronegativity</t>
  </si>
  <si>
    <t>MagpieData mean NsValence</t>
  </si>
  <si>
    <t>MagpieData range NpValence</t>
  </si>
  <si>
    <t>MagpieData mean NpValence</t>
  </si>
  <si>
    <t>MagpieData avg_dev NpValence</t>
  </si>
  <si>
    <t>MagpieData minimum NValence</t>
  </si>
  <si>
    <t>MagpieData range NValence</t>
  </si>
  <si>
    <t>MagpieData mean NValence</t>
  </si>
  <si>
    <t>MagpieData avg_dev NValence</t>
  </si>
  <si>
    <t>MagpieData mode NValence</t>
  </si>
  <si>
    <t>MagpieData avg_dev NsUnfilled</t>
  </si>
  <si>
    <t>MagpieData range NpUnfilled</t>
  </si>
  <si>
    <t>MagpieData mean NpUnfilled</t>
  </si>
  <si>
    <t>MagpieData avg_dev NpUnfilled</t>
  </si>
  <si>
    <t>MagpieData range NUnfilled</t>
  </si>
  <si>
    <t>MagpieData mean NUnfilled</t>
  </si>
  <si>
    <t>MagpieData avg_dev NUnfilled</t>
  </si>
  <si>
    <t>MagpieData mode NUnfilled</t>
  </si>
  <si>
    <t>MagpieData range GSvolume_pa</t>
  </si>
  <si>
    <t>MagpieData avg_dev GSvolume_pa</t>
  </si>
  <si>
    <t>MagpieData mode GSvolume_pa</t>
  </si>
  <si>
    <t>MagpieData avg_dev GSbandgap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</si>
  <si>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</si>
  <si>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</si>
  <si>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</si>
  <si>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</si>
  <si>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</si>
  <si>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</si>
  <si>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0-norm</t>
  </si>
  <si>
    <t>10-norm</t>
  </si>
  <si>
    <t>vpa</t>
  </si>
  <si>
    <t>packing fraction</t>
  </si>
  <si>
    <t>crystal_system_int</t>
  </si>
  <si>
    <t>max relative bond length</t>
  </si>
  <si>
    <t>min relative bond length</t>
  </si>
  <si>
    <t>minimum neighbor distance variation</t>
  </si>
  <si>
    <t>mean neighbor distance variation</t>
  </si>
  <si>
    <t>avg_dev neighbor distance variation</t>
  </si>
  <si>
    <t>mean absolute deviation in relative cell size</t>
  </si>
  <si>
    <t>lattice_a</t>
  </si>
  <si>
    <t>lattice_b</t>
  </si>
  <si>
    <t>lattice_c</t>
  </si>
  <si>
    <t>alpha</t>
  </si>
  <si>
    <t>beta</t>
  </si>
  <si>
    <t>gamma</t>
  </si>
  <si>
    <t>volume</t>
  </si>
  <si>
    <t>min_coordination</t>
  </si>
  <si>
    <t>max_coordination</t>
  </si>
  <si>
    <t>avg_bond_length</t>
  </si>
  <si>
    <t>min_bond_length</t>
  </si>
  <si>
    <t>num_metal_atoms</t>
  </si>
  <si>
    <t>space_group_number</t>
  </si>
  <si>
    <t>symmetry_operations_count</t>
  </si>
  <si>
    <t>two_theta_1</t>
  </si>
  <si>
    <t>d_hkl_1</t>
  </si>
  <si>
    <t>two_theta_2</t>
  </si>
  <si>
    <t>d_hkl_2</t>
  </si>
  <si>
    <t>two_theta_3</t>
  </si>
  <si>
    <t>d_hkl_3</t>
  </si>
  <si>
    <t>two_theta_4</t>
  </si>
  <si>
    <t>d_hkl_4</t>
  </si>
  <si>
    <t>two_theta_5</t>
  </si>
  <si>
    <t>d_hkl_5</t>
  </si>
  <si>
    <t>two_theta_6</t>
  </si>
  <si>
    <t>d_hkl_6</t>
  </si>
  <si>
    <t>two_theta_7</t>
  </si>
  <si>
    <t>d_hkl_7</t>
  </si>
  <si>
    <t>two_theta_8</t>
  </si>
  <si>
    <t>d_hkl_8</t>
  </si>
  <si>
    <t>two_theta_9</t>
  </si>
  <si>
    <t>d_hkl_9</t>
  </si>
  <si>
    <t>two_theta_10</t>
  </si>
  <si>
    <t>d_hkl_10</t>
  </si>
  <si>
    <t>MagpieData range MeltingT</t>
    <phoneticPr fontId="1" type="noConversion"/>
  </si>
  <si>
    <t>MagpieData avg_dev MeltingT</t>
    <phoneticPr fontId="1" type="noConversion"/>
  </si>
  <si>
    <t>MagpieData range NsUnfilled</t>
    <phoneticPr fontId="1" type="noConversion"/>
  </si>
  <si>
    <t>MagpieData avg_dev NsUnfilled</t>
    <phoneticPr fontId="1" type="noConversion"/>
  </si>
  <si>
    <t>MagpieData mode Nvalence</t>
    <phoneticPr fontId="1" type="noConversion"/>
  </si>
  <si>
    <t>MagpieData range Row</t>
    <phoneticPr fontId="1" type="noConversion"/>
  </si>
  <si>
    <t>MagpieData range NpUnfilled</t>
    <phoneticPr fontId="1" type="noConversion"/>
  </si>
  <si>
    <t>MagpieData range GSvolume_pa</t>
    <phoneticPr fontId="1" type="noConversion"/>
  </si>
  <si>
    <t>crystal_system_int</t>
    <phoneticPr fontId="1" type="noConversion"/>
  </si>
  <si>
    <t>space_group_number</t>
    <phoneticPr fontId="1" type="noConversion"/>
  </si>
  <si>
    <t>symmetry_operations_count</t>
    <phoneticPr fontId="1" type="noConversion"/>
  </si>
  <si>
    <t>MagpieData range NUnfilled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</si>
</sst>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Arial"/>
      <family val="2"/>
    </font>
    <font>
      <b/>
      <sz val="11"/>
      <name val="Arial"/>
      <family val="2"/>
    </font>
    <font>
      <b/>
      <sz val="14"/>
      <color rgb="FF00B050"/>
      <name val="Times New Roman"/>
      <family val="1"/>
    </font>
    <font>
      <b/>
      <sz val="14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K22"/>
  <sheetViews>
    <sheetView tabSelected="1" zoomScale="130" zoomScaleNormal="130" workbookViewId="0">
      <selection activeCell="E36" sqref="E36"/>
    </sheetView>
  </sheetViews>
  <sheetFormatPr defaultColWidth="15.625" defaultRowHeight="15" x14ac:dyDescent="0.2"/>
  <cols>
    <col min="1" max="1" width="10.625" style="1" customWidth="1"/>
    <col min="2" max="2" width="9.5" style="1" customWidth="1"/>
    <col min="3" max="16384" width="15.625" style="1"/>
  </cols>
  <sheetData>
    <row r="1" spans="1:89" x14ac:dyDescent="0.2"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109</v>
      </c>
      <c r="J1" s="4" t="s">
        <v>110</v>
      </c>
      <c r="K1" s="4" t="s">
        <v>31</v>
      </c>
      <c r="L1" s="4" t="s">
        <v>32</v>
      </c>
      <c r="M1" s="4" t="s">
        <v>114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113</v>
      </c>
      <c r="Z1" s="4" t="s">
        <v>111</v>
      </c>
      <c r="AA1" s="4" t="s">
        <v>112</v>
      </c>
      <c r="AB1" s="4" t="s">
        <v>115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116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117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4" t="s">
        <v>74</v>
      </c>
      <c r="BD1" s="4" t="s">
        <v>75</v>
      </c>
      <c r="BE1" s="4" t="s">
        <v>76</v>
      </c>
      <c r="BF1" s="4" t="s">
        <v>77</v>
      </c>
      <c r="BG1" s="4" t="s">
        <v>78</v>
      </c>
      <c r="BH1" s="4" t="s">
        <v>79</v>
      </c>
      <c r="BI1" s="4" t="s">
        <v>80</v>
      </c>
      <c r="BJ1" s="4" t="s">
        <v>81</v>
      </c>
      <c r="BK1" s="5" t="s">
        <v>82</v>
      </c>
      <c r="BL1" s="5" t="s">
        <v>83</v>
      </c>
      <c r="BM1" s="5" t="s">
        <v>84</v>
      </c>
      <c r="BN1" s="5" t="s">
        <v>85</v>
      </c>
      <c r="BO1" s="5" t="s">
        <v>86</v>
      </c>
      <c r="BP1" s="4" t="s">
        <v>118</v>
      </c>
      <c r="BQ1" s="4" t="s">
        <v>119</v>
      </c>
      <c r="BR1" s="5" t="s">
        <v>89</v>
      </c>
      <c r="BS1" s="5" t="s">
        <v>90</v>
      </c>
      <c r="BT1" s="5" t="s">
        <v>91</v>
      </c>
      <c r="BU1" s="5" t="s">
        <v>92</v>
      </c>
      <c r="BV1" s="5" t="s">
        <v>93</v>
      </c>
      <c r="BW1" s="5" t="s">
        <v>94</v>
      </c>
      <c r="BX1" s="5" t="s">
        <v>95</v>
      </c>
      <c r="BY1" s="5" t="s">
        <v>96</v>
      </c>
      <c r="BZ1" s="5" t="s">
        <v>97</v>
      </c>
      <c r="CA1" s="5" t="s">
        <v>98</v>
      </c>
      <c r="CB1" s="5" t="s">
        <v>99</v>
      </c>
      <c r="CC1" s="5" t="s">
        <v>100</v>
      </c>
      <c r="CD1" s="5" t="s">
        <v>101</v>
      </c>
      <c r="CE1" s="5" t="s">
        <v>102</v>
      </c>
      <c r="CF1" s="5" t="s">
        <v>103</v>
      </c>
      <c r="CG1" s="5" t="s">
        <v>104</v>
      </c>
      <c r="CH1" s="5" t="s">
        <v>105</v>
      </c>
      <c r="CI1" s="5" t="s">
        <v>106</v>
      </c>
      <c r="CJ1" s="5" t="s">
        <v>107</v>
      </c>
      <c r="CK1" s="5" t="s">
        <v>108</v>
      </c>
    </row>
    <row r="2" spans="1:89" x14ac:dyDescent="0.2"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>
        <v>81</v>
      </c>
      <c r="CG2" s="1">
        <v>82</v>
      </c>
      <c r="CH2" s="1">
        <v>83</v>
      </c>
      <c r="CI2" s="1">
        <v>84</v>
      </c>
      <c r="CJ2" s="1">
        <v>85</v>
      </c>
      <c r="CK2" s="1">
        <v>86</v>
      </c>
    </row>
    <row r="3" spans="1:89" x14ac:dyDescent="0.2">
      <c r="A3" s="10" t="s">
        <v>5</v>
      </c>
      <c r="B3" s="1" t="s">
        <v>0</v>
      </c>
      <c r="C3" s="1">
        <v>2.7904557452657321E-2</v>
      </c>
      <c r="D3" s="1">
        <v>-9.4275780003071963E-2</v>
      </c>
      <c r="E3" s="1">
        <v>-7.6509115713765063E-2</v>
      </c>
      <c r="F3" s="1">
        <v>-4.7485080812324609E-2</v>
      </c>
      <c r="G3" s="1">
        <v>-0.1198367376736882</v>
      </c>
      <c r="H3" s="1">
        <v>8.3733257446549914E-2</v>
      </c>
      <c r="I3" s="1">
        <v>-0.13788638156862459</v>
      </c>
      <c r="J3" s="2">
        <v>-0.1845839064196084</v>
      </c>
      <c r="K3" s="1">
        <v>-3.8702460096836283E-2</v>
      </c>
      <c r="L3" s="1">
        <v>5.788894007434945E-2</v>
      </c>
      <c r="M3" s="1">
        <v>-2.1030616877834338E-2</v>
      </c>
      <c r="N3" s="1">
        <v>4.1214425603369229E-2</v>
      </c>
      <c r="O3" s="1">
        <v>-7.1243565235690851E-2</v>
      </c>
      <c r="P3" s="1">
        <v>4.8515968684647991E-2</v>
      </c>
      <c r="Q3" s="2">
        <v>-0.21848774832806939</v>
      </c>
      <c r="R3" s="1">
        <v>0.134470109913497</v>
      </c>
      <c r="S3" s="1">
        <v>1.978635178062026E-2</v>
      </c>
      <c r="T3" s="2">
        <v>0.14781829450785611</v>
      </c>
      <c r="U3" s="1">
        <v>-9.3818136070316943E-2</v>
      </c>
      <c r="V3" s="1">
        <v>2.003874232108644E-2</v>
      </c>
      <c r="W3" s="1">
        <v>-2.6565221177233221E-2</v>
      </c>
      <c r="X3" s="1">
        <v>0.1290798969264364</v>
      </c>
      <c r="Y3" s="1">
        <v>4.5609358833711207E-2</v>
      </c>
      <c r="Z3" s="2">
        <v>0.33413455429876998</v>
      </c>
      <c r="AA3" s="2">
        <v>0.29935404682065492</v>
      </c>
      <c r="AB3" s="2">
        <v>-0.2319372893954269</v>
      </c>
      <c r="AC3" s="2">
        <v>-0.19835293417744049</v>
      </c>
      <c r="AD3" s="1">
        <v>-9.5600975434077973E-2</v>
      </c>
      <c r="AE3" s="1">
        <v>2.1475360765122751E-3</v>
      </c>
      <c r="AF3" s="1">
        <v>-0.1055949937295164</v>
      </c>
      <c r="AG3" s="1">
        <v>-2.979044492431852E-2</v>
      </c>
      <c r="AH3" s="1">
        <v>-9.8656618210798797E-2</v>
      </c>
      <c r="AI3" s="1">
        <v>0.13955289123347031</v>
      </c>
      <c r="AJ3" s="1">
        <v>0.1464350192411141</v>
      </c>
      <c r="AK3" s="1">
        <v>0.1156631080466326</v>
      </c>
      <c r="AL3" s="1">
        <v>3.8747078251150022E-2</v>
      </c>
      <c r="AM3" s="1">
        <v>3.8024402063927522E-2</v>
      </c>
      <c r="AN3" s="1">
        <v>3.3316789134963283E-2</v>
      </c>
      <c r="AO3" s="1">
        <v>-3.1621636992527652E-2</v>
      </c>
      <c r="AP3" s="1">
        <v>4.0264783927908977E-2</v>
      </c>
      <c r="AQ3" s="1">
        <v>1.333665662736465E-2</v>
      </c>
      <c r="AR3" s="1">
        <v>2.9341157471816839E-2</v>
      </c>
      <c r="AS3" s="1">
        <v>1.90658537512594E-3</v>
      </c>
      <c r="AT3" s="1">
        <v>-1.2302802205045239E-2</v>
      </c>
      <c r="AU3" s="1">
        <v>0.1240603544088469</v>
      </c>
      <c r="AV3" s="1">
        <v>0.10557161912467521</v>
      </c>
      <c r="AW3" s="2">
        <v>-0.25443697425992251</v>
      </c>
      <c r="AX3" s="1">
        <v>-5.9186400991305822E-2</v>
      </c>
      <c r="AY3" s="1">
        <v>-2.5881855302482561E-3</v>
      </c>
      <c r="AZ3" s="1">
        <v>-9.7323568856645296E-2</v>
      </c>
      <c r="BA3" s="1">
        <v>-0.13870005672010041</v>
      </c>
      <c r="BB3" s="1">
        <v>-8.4612777168744324E-2</v>
      </c>
      <c r="BC3" s="1">
        <v>-4.7523309145394557E-2</v>
      </c>
      <c r="BD3" s="1">
        <v>-1.3102069997285869E-2</v>
      </c>
      <c r="BE3" s="1">
        <v>-1.8200908053522591E-2</v>
      </c>
      <c r="BF3" s="1">
        <v>-3.2504178041675227E-2</v>
      </c>
      <c r="BG3" s="1">
        <v>-4.3245848687965383E-2</v>
      </c>
      <c r="BH3" s="1">
        <v>-5.2609374099154518E-2</v>
      </c>
      <c r="BI3" s="1">
        <v>-5.3105310934572318E-2</v>
      </c>
      <c r="BJ3" s="1">
        <v>-3.5000972107353499E-2</v>
      </c>
      <c r="BK3" s="1">
        <v>-5.6526949793591602E-2</v>
      </c>
      <c r="BL3" s="1">
        <v>7.2494263747553717E-2</v>
      </c>
      <c r="BM3" s="1">
        <v>2.0325939060801788E-2</v>
      </c>
      <c r="BN3" s="1">
        <v>-9.7253176908718569E-3</v>
      </c>
      <c r="BO3" s="1">
        <v>-8.2781986574202195E-3</v>
      </c>
      <c r="BP3" s="2">
        <v>0.28217403127740209</v>
      </c>
      <c r="BQ3" s="2">
        <v>0.27190470258835242</v>
      </c>
      <c r="BR3" s="1">
        <v>1.8689365342146599E-2</v>
      </c>
      <c r="BS3" s="1">
        <v>-1.6443417659527681E-2</v>
      </c>
      <c r="BT3" s="1">
        <v>4.9830639908779707E-2</v>
      </c>
      <c r="BU3" s="1">
        <v>-3.1311906287670749E-2</v>
      </c>
      <c r="BV3" s="1">
        <v>5.0592708749713972E-2</v>
      </c>
      <c r="BW3" s="1">
        <v>-2.4009266702536881E-2</v>
      </c>
      <c r="BX3" s="1">
        <v>7.48424493016355E-2</v>
      </c>
      <c r="BY3" s="1">
        <v>-2.685214091740289E-2</v>
      </c>
      <c r="BZ3" s="1">
        <v>9.6865532988088948E-2</v>
      </c>
      <c r="CA3" s="1">
        <v>-6.1414770998238929E-2</v>
      </c>
      <c r="CB3" s="1">
        <v>9.9873235349032752E-2</v>
      </c>
      <c r="CC3" s="1">
        <v>-5.6679548908545381E-2</v>
      </c>
      <c r="CD3" s="1">
        <v>9.1906907539971563E-2</v>
      </c>
      <c r="CE3" s="1">
        <v>-3.6212753840411463E-2</v>
      </c>
      <c r="CF3" s="1">
        <v>0.12210080478941671</v>
      </c>
      <c r="CG3" s="1">
        <v>-4.9973294854688807E-2</v>
      </c>
      <c r="CH3" s="1">
        <v>9.00815950641186E-2</v>
      </c>
      <c r="CI3" s="1">
        <v>-4.0799459238488399E-2</v>
      </c>
      <c r="CJ3" s="1">
        <v>7.9537236841412021E-2</v>
      </c>
      <c r="CK3" s="1">
        <v>-1.6371002629916559E-2</v>
      </c>
    </row>
    <row r="4" spans="1:89" x14ac:dyDescent="0.2">
      <c r="A4" s="10"/>
      <c r="B4" s="1" t="s">
        <v>1</v>
      </c>
      <c r="C4" s="1">
        <v>2.3846134811294169E-2</v>
      </c>
      <c r="D4" s="1">
        <v>-8.5254475286302256E-2</v>
      </c>
      <c r="E4" s="1">
        <v>-4.9170114538382159E-2</v>
      </c>
      <c r="F4" s="1">
        <v>-0.1248230830162347</v>
      </c>
      <c r="G4" s="1">
        <v>-3.6127514503199121E-2</v>
      </c>
      <c r="H4" s="1">
        <v>-6.6643043007710179E-2</v>
      </c>
      <c r="I4" s="1">
        <v>-4.0961828174156327E-2</v>
      </c>
      <c r="J4" s="1">
        <v>-6.7961132675724609E-2</v>
      </c>
      <c r="K4" s="1">
        <v>-6.2522648651801599E-2</v>
      </c>
      <c r="L4" s="1">
        <v>4.7177371426500359E-2</v>
      </c>
      <c r="M4" s="1">
        <v>-7.7907222927165218E-2</v>
      </c>
      <c r="N4" s="1">
        <v>-7.8787434006542159E-2</v>
      </c>
      <c r="O4" s="1">
        <v>-8.8774734363839411E-2</v>
      </c>
      <c r="P4" s="1">
        <v>3.8537533295282388E-2</v>
      </c>
      <c r="Q4" s="2">
        <v>-0.19485770182983181</v>
      </c>
      <c r="R4" s="1">
        <v>-6.0810339025907163E-2</v>
      </c>
      <c r="S4" s="1">
        <v>-2.8569700708620518E-3</v>
      </c>
      <c r="T4" s="1">
        <v>-6.2681295181213126E-2</v>
      </c>
      <c r="U4" s="2">
        <v>-0.15100773806993181</v>
      </c>
      <c r="V4" s="1">
        <v>3.8535184722525637E-2</v>
      </c>
      <c r="W4" s="1">
        <v>-3.5537303530883517E-2</v>
      </c>
      <c r="X4" s="1">
        <v>4.086683770588614E-4</v>
      </c>
      <c r="Y4" s="1">
        <v>-2.04146286042973E-2</v>
      </c>
      <c r="Z4" s="2">
        <v>0.530913138359843</v>
      </c>
      <c r="AA4" s="2">
        <v>0.29415035175608267</v>
      </c>
      <c r="AB4" s="1">
        <v>4.854765523024409E-2</v>
      </c>
      <c r="AC4" s="1">
        <v>4.4095954598688668E-2</v>
      </c>
      <c r="AD4" s="1">
        <v>3.1340988453284688E-2</v>
      </c>
      <c r="AE4" s="2">
        <v>-0.1660160912015004</v>
      </c>
      <c r="AF4" s="1">
        <v>-3.0859355447709061E-3</v>
      </c>
      <c r="AG4" s="1">
        <v>-9.1717592303719744E-2</v>
      </c>
      <c r="AH4" s="1">
        <v>2.1573471037254221E-2</v>
      </c>
      <c r="AI4" s="1">
        <v>0.1234381412754841</v>
      </c>
      <c r="AJ4" s="1">
        <v>4.0760342071391453E-2</v>
      </c>
      <c r="AK4" s="1">
        <v>-3.734044316716989E-2</v>
      </c>
      <c r="AL4" s="1">
        <v>-1.083133465952635E-2</v>
      </c>
      <c r="AM4" s="1">
        <v>-2.271351284273183E-2</v>
      </c>
      <c r="AN4" s="1">
        <v>6.1359300542140428E-2</v>
      </c>
      <c r="AO4" s="1">
        <v>3.3549329818450657E-2</v>
      </c>
      <c r="AP4" s="1">
        <v>-2.950706299154205E-2</v>
      </c>
      <c r="AQ4" s="1">
        <v>-1.573653810079044E-2</v>
      </c>
      <c r="AR4" s="1">
        <v>-2.937652047566577E-2</v>
      </c>
      <c r="AS4" s="1">
        <v>1.9862782799273488E-3</v>
      </c>
      <c r="AT4" s="1">
        <v>-2.7008123399614632E-2</v>
      </c>
      <c r="AU4" s="1">
        <v>-8.4493641698037639E-3</v>
      </c>
      <c r="AV4" s="1">
        <v>2.128952905075936E-2</v>
      </c>
      <c r="AW4" s="2">
        <v>0.25018387590521413</v>
      </c>
      <c r="AX4" s="1">
        <v>0.1119653336279068</v>
      </c>
      <c r="AY4" s="1">
        <v>-9.8799316174297255E-2</v>
      </c>
      <c r="AZ4" s="1">
        <v>0.11581811569524469</v>
      </c>
      <c r="BA4" s="1">
        <v>0.1086071947331184</v>
      </c>
      <c r="BB4" s="1">
        <v>6.360045019847349E-2</v>
      </c>
      <c r="BC4" s="1">
        <v>8.3301963300333737E-2</v>
      </c>
      <c r="BD4" s="1">
        <v>-1.690824198805427E-3</v>
      </c>
      <c r="BE4" s="1">
        <v>6.9223313456927543E-3</v>
      </c>
      <c r="BF4" s="1">
        <v>4.3816811298214603E-2</v>
      </c>
      <c r="BG4" s="1">
        <v>-1.9069703022612169E-2</v>
      </c>
      <c r="BH4" s="1">
        <v>-1.7219621641413399E-3</v>
      </c>
      <c r="BI4" s="1">
        <v>-1.136301289492884E-2</v>
      </c>
      <c r="BJ4" s="1">
        <v>4.0775482006329668E-2</v>
      </c>
      <c r="BK4" s="1">
        <v>0.12715102282191451</v>
      </c>
      <c r="BL4" s="1">
        <v>9.1503153073393045E-2</v>
      </c>
      <c r="BM4" s="1">
        <v>-0.12228336447130481</v>
      </c>
      <c r="BN4" s="1">
        <v>-2.4255743322110689E-2</v>
      </c>
      <c r="BO4" s="1">
        <v>1.045604864051999E-2</v>
      </c>
      <c r="BP4" s="2">
        <v>-0.29046023941035293</v>
      </c>
      <c r="BQ4" s="2">
        <v>-0.19018627956401421</v>
      </c>
      <c r="BR4" s="1">
        <v>-4.0249885524200717E-2</v>
      </c>
      <c r="BS4" s="1">
        <v>3.1421306551397778E-2</v>
      </c>
      <c r="BT4" s="1">
        <v>-0.1235205441857477</v>
      </c>
      <c r="BU4" s="1">
        <v>7.3735940240950482E-2</v>
      </c>
      <c r="BV4" s="1">
        <v>-8.5824927965258174E-2</v>
      </c>
      <c r="BW4" s="1">
        <v>4.1638740508196902E-2</v>
      </c>
      <c r="BX4" s="1">
        <v>-8.9495552630137115E-2</v>
      </c>
      <c r="BY4" s="1">
        <v>3.1111711508543891E-2</v>
      </c>
      <c r="BZ4" s="1">
        <v>-0.1049513534189232</v>
      </c>
      <c r="CA4" s="1">
        <v>5.9896004433647149E-2</v>
      </c>
      <c r="CB4" s="1">
        <v>-9.9149220340296496E-2</v>
      </c>
      <c r="CC4" s="1">
        <v>5.8443545728832869E-2</v>
      </c>
      <c r="CD4" s="2">
        <v>-0.141224936941792</v>
      </c>
      <c r="CE4" s="1">
        <v>7.057061992973658E-2</v>
      </c>
      <c r="CF4" s="2">
        <v>-0.13763291340719039</v>
      </c>
      <c r="CG4" s="1">
        <v>6.7179635052941417E-2</v>
      </c>
      <c r="CH4" s="1">
        <v>-0.1068266763059679</v>
      </c>
      <c r="CI4" s="1">
        <v>5.4112382012615069E-2</v>
      </c>
      <c r="CJ4" s="1">
        <v>-8.5673351344843857E-2</v>
      </c>
      <c r="CK4" s="1">
        <v>1.899605543486468E-2</v>
      </c>
    </row>
    <row r="5" spans="1:89" x14ac:dyDescent="0.2">
      <c r="A5" s="10"/>
      <c r="B5" s="1" t="s">
        <v>2</v>
      </c>
      <c r="C5" s="1">
        <v>0.14802673387885321</v>
      </c>
      <c r="D5" s="1">
        <v>-9.8339447269321867E-2</v>
      </c>
      <c r="E5" s="1">
        <v>-6.8373910453251696E-2</v>
      </c>
      <c r="F5" s="1">
        <v>-3.9782990715174327E-2</v>
      </c>
      <c r="G5" s="2">
        <v>0.19876618963933609</v>
      </c>
      <c r="H5" s="1">
        <v>0.1136604286940158</v>
      </c>
      <c r="I5" s="2">
        <v>-0.27458639038576282</v>
      </c>
      <c r="J5" s="2">
        <v>-0.28017547600951509</v>
      </c>
      <c r="K5" s="1">
        <v>6.8062569539638212E-3</v>
      </c>
      <c r="L5" s="1">
        <v>2.9070781403948229E-3</v>
      </c>
      <c r="M5" s="1">
        <v>5.7647686606094747E-2</v>
      </c>
      <c r="N5" s="1">
        <v>6.248952921177716E-3</v>
      </c>
      <c r="O5" s="1">
        <v>-1.6151794147460371E-2</v>
      </c>
      <c r="P5" s="1">
        <v>3.5945800714549052E-2</v>
      </c>
      <c r="Q5" s="1">
        <v>0.11371489967755009</v>
      </c>
      <c r="R5" s="1">
        <v>5.4876882089169923E-2</v>
      </c>
      <c r="S5" s="2">
        <v>0.3065533775558511</v>
      </c>
      <c r="T5" s="2">
        <v>-0.20315405511208501</v>
      </c>
      <c r="U5" s="1">
        <v>2.1919392481305811E-2</v>
      </c>
      <c r="V5" s="1">
        <v>2.589248725382761E-2</v>
      </c>
      <c r="W5" s="1">
        <v>0.16039990240623631</v>
      </c>
      <c r="X5" s="1">
        <v>-0.15707282858919561</v>
      </c>
      <c r="Y5" s="1">
        <v>2.3883869332012819E-2</v>
      </c>
      <c r="Z5" s="1">
        <v>-7.1212707993961719E-2</v>
      </c>
      <c r="AA5" s="1">
        <v>-0.1318387136036408</v>
      </c>
      <c r="AB5" s="2">
        <v>-0.22018959437899341</v>
      </c>
      <c r="AC5" s="1">
        <v>-2.3119045594438122E-2</v>
      </c>
      <c r="AD5" s="2">
        <v>-0.26541195865894512</v>
      </c>
      <c r="AE5" s="1">
        <v>-0.14291759618666741</v>
      </c>
      <c r="AF5" s="1">
        <v>-6.1027691136962943E-2</v>
      </c>
      <c r="AG5" s="1">
        <v>-0.1387617007014969</v>
      </c>
      <c r="AH5" s="1">
        <v>-1.28272511327317E-2</v>
      </c>
      <c r="AI5" s="1">
        <v>6.6551442233052593E-2</v>
      </c>
      <c r="AJ5" s="1">
        <v>1.208495134180685E-2</v>
      </c>
      <c r="AK5" s="1">
        <v>-6.5601854225740769E-3</v>
      </c>
      <c r="AL5" s="1">
        <v>4.3007802483984107E-2</v>
      </c>
      <c r="AM5" s="1">
        <v>-4.1279442767126383E-2</v>
      </c>
      <c r="AN5" s="1">
        <v>-8.13462855372242E-3</v>
      </c>
      <c r="AO5" s="1">
        <v>3.9386293875814327E-2</v>
      </c>
      <c r="AP5" s="2">
        <v>-0.201113254604809</v>
      </c>
      <c r="AQ5" s="2">
        <v>-0.22930772544798561</v>
      </c>
      <c r="AR5" s="1">
        <v>-1.8883083002242201E-2</v>
      </c>
      <c r="AS5" s="1">
        <v>-3.089034784131943E-3</v>
      </c>
      <c r="AT5" s="1">
        <v>0.16922563302121479</v>
      </c>
      <c r="AU5" s="1">
        <v>5.5423938628221148E-2</v>
      </c>
      <c r="AV5" s="1">
        <v>-0.15668616186683471</v>
      </c>
      <c r="AW5" s="1">
        <v>-1.899853497726724E-2</v>
      </c>
      <c r="AX5" s="1">
        <v>-1.0630967614782549E-2</v>
      </c>
      <c r="AY5" s="2">
        <v>-0.19440462806938549</v>
      </c>
      <c r="AZ5" s="1">
        <v>-0.12992298768813959</v>
      </c>
      <c r="BA5" s="1">
        <v>-3.1537572814547853E-2</v>
      </c>
      <c r="BB5" s="1">
        <v>3.8209183764081958E-2</v>
      </c>
      <c r="BC5" s="1">
        <v>9.4162395648761874E-2</v>
      </c>
      <c r="BD5" s="1">
        <v>1.9262894108765621E-2</v>
      </c>
      <c r="BE5" s="1">
        <v>4.262292084560064E-2</v>
      </c>
      <c r="BF5" s="1">
        <v>3.179553198511241E-2</v>
      </c>
      <c r="BG5" s="1">
        <v>-1.029674308202135E-2</v>
      </c>
      <c r="BH5" s="1">
        <v>-1.174474079162484E-2</v>
      </c>
      <c r="BI5" s="1">
        <v>2.874563656710316E-3</v>
      </c>
      <c r="BJ5" s="1">
        <v>6.1412049786841387E-2</v>
      </c>
      <c r="BK5" s="1">
        <v>-0.1080060069577225</v>
      </c>
      <c r="BL5" s="1">
        <v>-0.1450865302902154</v>
      </c>
      <c r="BM5" s="1">
        <v>0.18022146633244099</v>
      </c>
      <c r="BN5" s="1">
        <v>5.7911446965748153E-2</v>
      </c>
      <c r="BO5" s="1">
        <v>-6.2089177931353268E-2</v>
      </c>
      <c r="BP5" s="1">
        <v>1.9570903662255151E-2</v>
      </c>
      <c r="BQ5" s="1">
        <v>-1.1434151849825481E-2</v>
      </c>
      <c r="BR5" s="1">
        <v>-6.706123876629988E-2</v>
      </c>
      <c r="BS5" s="1">
        <v>4.3410366978976878E-2</v>
      </c>
      <c r="BT5" s="1">
        <v>-9.361218824888215E-2</v>
      </c>
      <c r="BU5" s="1">
        <v>6.2696746746026349E-2</v>
      </c>
      <c r="BV5" s="1">
        <v>-6.2901960536681303E-2</v>
      </c>
      <c r="BW5" s="1">
        <v>3.5761327416195261E-2</v>
      </c>
      <c r="BX5" s="1">
        <v>-7.0907672234481051E-2</v>
      </c>
      <c r="BY5" s="1">
        <v>2.555659891170195E-2</v>
      </c>
      <c r="BZ5" s="1">
        <v>-7.5253501790430444E-2</v>
      </c>
      <c r="CA5" s="1">
        <v>5.8557011830643407E-2</v>
      </c>
      <c r="CB5" s="1">
        <v>-4.7210546240477741E-2</v>
      </c>
      <c r="CC5" s="1">
        <v>4.3706737541642893E-2</v>
      </c>
      <c r="CD5" s="1">
        <v>-6.7589676847348554E-2</v>
      </c>
      <c r="CE5" s="1">
        <v>2.493002357580618E-2</v>
      </c>
      <c r="CF5" s="1">
        <v>-5.0378601975958927E-2</v>
      </c>
      <c r="CG5" s="1">
        <v>2.1859637105577319E-2</v>
      </c>
      <c r="CH5" s="1">
        <v>-3.7593144746291607E-2</v>
      </c>
      <c r="CI5" s="1">
        <v>2.2268861812507468E-2</v>
      </c>
      <c r="CJ5" s="1">
        <v>-4.9190548396644912E-2</v>
      </c>
      <c r="CK5" s="1">
        <v>1.6223911435534279E-2</v>
      </c>
    </row>
    <row r="6" spans="1:89" x14ac:dyDescent="0.2">
      <c r="A6" s="10"/>
      <c r="B6" s="1" t="s">
        <v>3</v>
      </c>
      <c r="C6" s="1">
        <v>4.9339976260924748E-2</v>
      </c>
      <c r="D6" s="1">
        <v>-0.1145538309184076</v>
      </c>
      <c r="E6" s="1">
        <v>-7.933624837702756E-2</v>
      </c>
      <c r="F6" s="1">
        <v>9.9186349906207463E-2</v>
      </c>
      <c r="G6" s="1">
        <v>-2.5434872518631E-2</v>
      </c>
      <c r="H6" s="1">
        <v>3.1455731975953971E-3</v>
      </c>
      <c r="I6" s="2">
        <v>0.24446503539301581</v>
      </c>
      <c r="J6" s="2">
        <v>0.17259427196920629</v>
      </c>
      <c r="K6" s="1">
        <v>-9.2517913003842267E-4</v>
      </c>
      <c r="L6" s="1">
        <v>1.2874489265968739E-2</v>
      </c>
      <c r="M6" s="2">
        <v>0.53716412413360282</v>
      </c>
      <c r="N6" s="2">
        <v>0.22313397012823691</v>
      </c>
      <c r="O6" s="1">
        <v>-0.10368008138245011</v>
      </c>
      <c r="P6" s="1">
        <v>6.5658911338278086E-2</v>
      </c>
      <c r="Q6" s="1">
        <v>3.1180342592622709E-3</v>
      </c>
      <c r="R6" s="1">
        <v>7.2158450380600522E-2</v>
      </c>
      <c r="S6" s="1">
        <v>4.7934429586861643E-2</v>
      </c>
      <c r="T6" s="1">
        <v>3.8634165340954367E-2</v>
      </c>
      <c r="U6" s="1">
        <v>1.4734758722348491E-2</v>
      </c>
      <c r="V6" s="1">
        <v>-5.9499481982066171E-2</v>
      </c>
      <c r="W6" s="1">
        <v>-2.9025185229030119E-3</v>
      </c>
      <c r="X6" s="1">
        <v>5.3242848719353762E-4</v>
      </c>
      <c r="Y6" s="1">
        <v>4.0706030642238947E-2</v>
      </c>
      <c r="Z6" s="1">
        <v>-7.6724289422344036E-2</v>
      </c>
      <c r="AA6" s="1">
        <v>-4.2529272545978082E-3</v>
      </c>
      <c r="AB6" s="1">
        <v>9.9210091593304947E-2</v>
      </c>
      <c r="AC6" s="1">
        <v>6.7053198507066356E-2</v>
      </c>
      <c r="AD6" s="1">
        <v>3.5184267745066028E-2</v>
      </c>
      <c r="AE6" s="2">
        <v>0.13588191634809679</v>
      </c>
      <c r="AF6" s="1">
        <v>8.9020187904599229E-2</v>
      </c>
      <c r="AG6" s="1">
        <v>7.7181678448666996E-2</v>
      </c>
      <c r="AH6" s="1">
        <v>-4.4315046594618129E-2</v>
      </c>
      <c r="AI6" s="2">
        <v>0.44117556500839289</v>
      </c>
      <c r="AJ6" s="2">
        <v>0.23290646295198791</v>
      </c>
      <c r="AK6" s="1">
        <v>2.8301779110689849E-2</v>
      </c>
      <c r="AL6" s="1">
        <v>4.498132155125744E-2</v>
      </c>
      <c r="AM6" s="1">
        <v>9.9059107014759055E-3</v>
      </c>
      <c r="AN6" s="1">
        <v>2.4760517362405761E-2</v>
      </c>
      <c r="AO6" s="1">
        <v>-5.3366842628823569E-3</v>
      </c>
      <c r="AP6" s="1">
        <v>5.426776155334153E-3</v>
      </c>
      <c r="AQ6" s="1">
        <v>7.5903586232679027E-3</v>
      </c>
      <c r="AR6" s="1">
        <v>-9.1629644708960834E-3</v>
      </c>
      <c r="AS6" s="1">
        <v>-2.5968471124758561E-4</v>
      </c>
      <c r="AT6" s="1">
        <v>3.5779053460429401E-2</v>
      </c>
      <c r="AU6" s="1">
        <v>0.11315257578355919</v>
      </c>
      <c r="AV6" s="1">
        <v>6.3883716168861557E-2</v>
      </c>
      <c r="AW6" s="1">
        <v>-5.0623840751304543E-2</v>
      </c>
      <c r="AX6" s="2">
        <v>0.1624056935644283</v>
      </c>
      <c r="AY6" s="2">
        <v>-0.13770330353419949</v>
      </c>
      <c r="AZ6" s="1">
        <v>-3.4759428308855742E-2</v>
      </c>
      <c r="BA6" s="1">
        <v>0.13009337617216471</v>
      </c>
      <c r="BB6" s="2">
        <v>0.21126177685623579</v>
      </c>
      <c r="BC6" s="1">
        <v>0.1137447218984685</v>
      </c>
      <c r="BD6" s="1">
        <v>1.603997140599971E-2</v>
      </c>
      <c r="BE6" s="1">
        <v>1.4761705168546531E-2</v>
      </c>
      <c r="BF6" s="1">
        <v>4.2666670099197222E-3</v>
      </c>
      <c r="BG6" s="1">
        <v>-4.1760057481681268E-2</v>
      </c>
      <c r="BH6" s="1">
        <v>-4.0182666990355519E-2</v>
      </c>
      <c r="BI6" s="1">
        <v>-2.8193401605648451E-2</v>
      </c>
      <c r="BJ6" s="1">
        <v>7.1591598222209302E-3</v>
      </c>
      <c r="BK6" s="1">
        <v>2.8039921807882211E-2</v>
      </c>
      <c r="BL6" s="1">
        <v>6.4959962222457063E-2</v>
      </c>
      <c r="BM6" s="1">
        <v>3.5425387411294071E-2</v>
      </c>
      <c r="BN6" s="1">
        <v>2.0707905085270671E-3</v>
      </c>
      <c r="BO6" s="1">
        <v>-7.8560990414651755E-2</v>
      </c>
      <c r="BP6" s="1">
        <v>4.6820986481630952E-2</v>
      </c>
      <c r="BQ6" s="1">
        <v>5.1180020102941287E-2</v>
      </c>
      <c r="BR6" s="1">
        <v>-6.7788533225028383E-2</v>
      </c>
      <c r="BS6" s="1">
        <v>3.7889102080737792E-2</v>
      </c>
      <c r="BT6" s="1">
        <v>-0.11769008971572251</v>
      </c>
      <c r="BU6" s="1">
        <v>4.7553687758143587E-2</v>
      </c>
      <c r="BV6" s="1">
        <v>-2.752482415871611E-2</v>
      </c>
      <c r="BW6" s="1">
        <v>7.3233131429278654E-3</v>
      </c>
      <c r="BX6" s="1">
        <v>-4.5365401758401168E-2</v>
      </c>
      <c r="BY6" s="1">
        <v>1.1949244071096991E-2</v>
      </c>
      <c r="BZ6" s="1">
        <v>-6.7924181491878663E-2</v>
      </c>
      <c r="CA6" s="1">
        <v>2.5533392695574818E-2</v>
      </c>
      <c r="CB6" s="1">
        <v>-8.9857252429116977E-3</v>
      </c>
      <c r="CC6" s="1">
        <v>-7.7557065550236002E-3</v>
      </c>
      <c r="CD6" s="1">
        <v>-6.5693101699648468E-2</v>
      </c>
      <c r="CE6" s="1">
        <v>2.9966542604115388E-2</v>
      </c>
      <c r="CF6" s="1">
        <v>-2.1582940747859381E-3</v>
      </c>
      <c r="CG6" s="1">
        <v>-1.4450400350974439E-2</v>
      </c>
      <c r="CH6" s="1">
        <v>1.074555593933546E-2</v>
      </c>
      <c r="CI6" s="1">
        <v>-4.1750618810524942E-2</v>
      </c>
      <c r="CJ6" s="1">
        <v>8.5577161048058618E-3</v>
      </c>
      <c r="CK6" s="1">
        <v>-8.3104883742926329E-3</v>
      </c>
    </row>
    <row r="7" spans="1:89" x14ac:dyDescent="0.2">
      <c r="A7" s="10"/>
      <c r="B7" s="1" t="s">
        <v>4</v>
      </c>
      <c r="C7" s="1">
        <v>0.1214192818540043</v>
      </c>
      <c r="D7" s="1">
        <v>-5.4155771452094707E-2</v>
      </c>
      <c r="E7" s="1">
        <v>-4.1102634189304599E-2</v>
      </c>
      <c r="F7" s="2">
        <v>-0.1967151092028456</v>
      </c>
      <c r="G7" s="1">
        <v>7.9585140959595568E-2</v>
      </c>
      <c r="H7" s="1">
        <v>-3.109940359169654E-2</v>
      </c>
      <c r="I7" s="2">
        <v>0.29091360210969908</v>
      </c>
      <c r="J7" s="1">
        <v>0.16607037504360861</v>
      </c>
      <c r="K7" s="1">
        <v>-1.7938232981998758E-2</v>
      </c>
      <c r="L7" s="1">
        <v>9.0414881744647624E-3</v>
      </c>
      <c r="M7" s="2">
        <v>-0.26196884430569639</v>
      </c>
      <c r="N7" s="2">
        <v>-0.2205416781791171</v>
      </c>
      <c r="O7" s="1">
        <v>3.7159728650638463E-2</v>
      </c>
      <c r="P7" s="1">
        <v>-8.8551255591749103E-2</v>
      </c>
      <c r="Q7" s="1">
        <v>8.7733983548797523E-3</v>
      </c>
      <c r="R7" s="1">
        <v>-4.4411352354205243E-2</v>
      </c>
      <c r="S7" s="1">
        <v>8.8552257688298525E-2</v>
      </c>
      <c r="T7" s="1">
        <v>-6.9671575071045946E-2</v>
      </c>
      <c r="U7" s="1">
        <v>-5.7295737818672088E-2</v>
      </c>
      <c r="V7" s="1">
        <v>-0.1493618416815104</v>
      </c>
      <c r="W7" s="1">
        <v>-2.3422481219208379E-2</v>
      </c>
      <c r="X7" s="1">
        <v>-9.7043204960897689E-2</v>
      </c>
      <c r="Y7" s="1">
        <v>2.1217800095456391E-2</v>
      </c>
      <c r="Z7" s="2">
        <v>0.27566623625192632</v>
      </c>
      <c r="AA7" s="1">
        <v>3.1491809424260463E-2</v>
      </c>
      <c r="AB7" s="1">
        <v>0.16229451805368181</v>
      </c>
      <c r="AC7" s="1">
        <v>0.15040969563011961</v>
      </c>
      <c r="AD7" s="1">
        <v>-6.6906955952859121E-4</v>
      </c>
      <c r="AE7" s="2">
        <v>0.23972836138167819</v>
      </c>
      <c r="AF7" s="1">
        <v>0.1824336118340866</v>
      </c>
      <c r="AG7" s="1">
        <v>9.0438648049640247E-2</v>
      </c>
      <c r="AH7" s="1">
        <v>-6.7818443499049997E-4</v>
      </c>
      <c r="AI7" s="1">
        <v>-0.15428296270300371</v>
      </c>
      <c r="AJ7" s="1">
        <v>-0.15094401461429899</v>
      </c>
      <c r="AK7" s="1">
        <v>7.0024027715710938E-2</v>
      </c>
      <c r="AL7" s="1">
        <v>7.3199942377096858E-2</v>
      </c>
      <c r="AM7" s="1">
        <v>5.1797017538550837E-2</v>
      </c>
      <c r="AN7" s="1">
        <v>-3.2608218989189489E-3</v>
      </c>
      <c r="AO7" s="1">
        <v>-5.1851320277649132E-2</v>
      </c>
      <c r="AP7" s="1">
        <v>-2.2183880378864991E-2</v>
      </c>
      <c r="AQ7" s="1">
        <v>-0.1216112357151836</v>
      </c>
      <c r="AR7" s="1">
        <v>3.718346425263911E-2</v>
      </c>
      <c r="AS7" s="1">
        <v>-1.780182860883764E-3</v>
      </c>
      <c r="AT7" s="1">
        <v>0.1351376580048109</v>
      </c>
      <c r="AU7" s="1">
        <v>-9.0675643215419469E-4</v>
      </c>
      <c r="AV7" s="2">
        <v>-0.20160862539146521</v>
      </c>
      <c r="AW7" s="2">
        <v>-0.22684964855186851</v>
      </c>
      <c r="AX7" s="1">
        <v>6.4186644864821868E-2</v>
      </c>
      <c r="AY7" s="1">
        <v>-2.5515175160466509E-2</v>
      </c>
      <c r="AZ7" s="1">
        <v>-0.1396054760037726</v>
      </c>
      <c r="BA7" s="1">
        <v>0.1283800823629698</v>
      </c>
      <c r="BB7" s="2">
        <v>0.1917197091405477</v>
      </c>
      <c r="BC7" s="1">
        <v>6.4400711453134349E-2</v>
      </c>
      <c r="BD7" s="1">
        <v>5.936647038245766E-2</v>
      </c>
      <c r="BE7" s="1">
        <v>4.8425017410763702E-2</v>
      </c>
      <c r="BF7" s="1">
        <v>2.4123825498137241E-2</v>
      </c>
      <c r="BG7" s="1">
        <v>-2.7802619950771539E-2</v>
      </c>
      <c r="BH7" s="1">
        <v>-3.1720084266456998E-2</v>
      </c>
      <c r="BI7" s="1">
        <v>-1.149480045793169E-2</v>
      </c>
      <c r="BJ7" s="1">
        <v>6.8150550365918286E-2</v>
      </c>
      <c r="BK7" s="1">
        <v>-7.2673142698031892E-2</v>
      </c>
      <c r="BL7" s="1">
        <v>-3.6114354281679688E-2</v>
      </c>
      <c r="BM7" s="1">
        <v>8.3506876643243785E-2</v>
      </c>
      <c r="BN7" s="1">
        <v>3.546902713142297E-2</v>
      </c>
      <c r="BO7" s="1">
        <v>-1.121117288513571E-2</v>
      </c>
      <c r="BP7" s="2">
        <v>0.23947010801020779</v>
      </c>
      <c r="BQ7" s="1">
        <v>0.17233789748290571</v>
      </c>
      <c r="BR7" s="1">
        <v>-4.7111313319947223E-2</v>
      </c>
      <c r="BS7" s="1">
        <v>4.3599634268840559E-2</v>
      </c>
      <c r="BT7" s="1">
        <v>-7.1456616667036232E-2</v>
      </c>
      <c r="BU7" s="1">
        <v>6.784947410446357E-2</v>
      </c>
      <c r="BV7" s="1">
        <v>-2.5769079416659839E-2</v>
      </c>
      <c r="BW7" s="1">
        <v>3.5475133133451672E-2</v>
      </c>
      <c r="BX7" s="1">
        <v>-5.1805727311510473E-2</v>
      </c>
      <c r="BY7" s="1">
        <v>3.5652139834900377E-2</v>
      </c>
      <c r="BZ7" s="1">
        <v>-4.0577054849786201E-2</v>
      </c>
      <c r="CA7" s="1">
        <v>4.8256439064161792E-2</v>
      </c>
      <c r="CB7" s="1">
        <v>-1.600319829387379E-2</v>
      </c>
      <c r="CC7" s="1">
        <v>4.3884899279890303E-2</v>
      </c>
      <c r="CD7" s="1">
        <v>2.085156688029283E-2</v>
      </c>
      <c r="CE7" s="1">
        <v>-1.7925883878380749E-3</v>
      </c>
      <c r="CF7" s="1">
        <v>2.834861896463935E-2</v>
      </c>
      <c r="CG7" s="1">
        <v>-3.222908995879132E-4</v>
      </c>
      <c r="CH7" s="1">
        <v>5.041477877536607E-2</v>
      </c>
      <c r="CI7" s="1">
        <v>-3.8534700391661923E-2</v>
      </c>
      <c r="CJ7" s="1">
        <v>5.1741730331486872E-2</v>
      </c>
      <c r="CK7" s="1">
        <v>-1.3563505325677339E-2</v>
      </c>
    </row>
    <row r="8" spans="1:89" x14ac:dyDescent="0.2">
      <c r="F8" s="2"/>
      <c r="I8" s="2"/>
      <c r="M8" s="2"/>
      <c r="N8" s="2"/>
      <c r="Z8" s="2"/>
      <c r="AE8" s="2"/>
      <c r="AV8" s="2"/>
      <c r="AW8" s="2"/>
      <c r="BB8" s="2"/>
      <c r="BP8" s="2"/>
    </row>
    <row r="9" spans="1:89" ht="15" customHeight="1" x14ac:dyDescent="0.2">
      <c r="A9" s="10" t="s">
        <v>8</v>
      </c>
      <c r="B9" s="1" t="s">
        <v>0</v>
      </c>
      <c r="C9" s="1">
        <v>2.7904557452657321E-2</v>
      </c>
      <c r="D9" s="1">
        <v>-9.4275780003071963E-2</v>
      </c>
      <c r="E9" s="1">
        <v>-7.6509115713765063E-2</v>
      </c>
      <c r="F9" s="1">
        <v>-4.7485080812324609E-2</v>
      </c>
      <c r="G9" s="1">
        <v>-0.1198367376736882</v>
      </c>
      <c r="H9" s="1">
        <v>8.3733257446549914E-2</v>
      </c>
      <c r="I9" s="1">
        <v>-0.13788638156862459</v>
      </c>
      <c r="J9" s="2">
        <v>-0.1845839064196084</v>
      </c>
      <c r="K9" s="1">
        <v>-3.8702460096836283E-2</v>
      </c>
      <c r="L9" s="1">
        <v>5.788894007434945E-2</v>
      </c>
      <c r="M9" s="1">
        <v>-2.1030616877834338E-2</v>
      </c>
      <c r="N9" s="1">
        <v>4.1214425603369229E-2</v>
      </c>
      <c r="O9" s="1">
        <v>-7.1243565235690851E-2</v>
      </c>
      <c r="P9" s="1">
        <v>4.8515968684647991E-2</v>
      </c>
      <c r="Q9" s="2">
        <v>-0.21848774832806939</v>
      </c>
      <c r="R9" s="1">
        <v>0.134470109913497</v>
      </c>
      <c r="S9" s="1">
        <v>1.978635178062026E-2</v>
      </c>
      <c r="T9" s="2">
        <v>0.14781829450785611</v>
      </c>
      <c r="U9" s="1">
        <v>-9.3818136070316943E-2</v>
      </c>
      <c r="V9" s="1">
        <v>2.003874232108644E-2</v>
      </c>
      <c r="W9" s="1">
        <v>-2.6565221177233221E-2</v>
      </c>
      <c r="X9" s="1">
        <v>0.1290798969264364</v>
      </c>
      <c r="Y9" s="1">
        <v>4.5609358833711207E-2</v>
      </c>
      <c r="Z9" s="2">
        <v>0.33413455429876998</v>
      </c>
      <c r="AA9" s="2">
        <v>0.29935404682065492</v>
      </c>
      <c r="AB9" s="2">
        <v>-0.2319372893954269</v>
      </c>
      <c r="AC9" s="2">
        <v>-0.19835293417744049</v>
      </c>
      <c r="AD9" s="1">
        <v>-9.5600975434077973E-2</v>
      </c>
      <c r="AE9" s="1">
        <v>2.1475360765122751E-3</v>
      </c>
      <c r="AF9" s="1">
        <v>-0.1055949937295164</v>
      </c>
      <c r="AG9" s="1">
        <v>-2.979044492431852E-2</v>
      </c>
      <c r="AH9" s="1">
        <v>-9.8656618210798797E-2</v>
      </c>
      <c r="AI9" s="1">
        <v>0.13955289123347031</v>
      </c>
      <c r="AJ9" s="1">
        <v>0.1464350192411141</v>
      </c>
      <c r="AK9" s="1">
        <v>0.1156631080466326</v>
      </c>
      <c r="AL9" s="1">
        <v>3.8747078251150022E-2</v>
      </c>
      <c r="AM9" s="1">
        <v>3.8024402063927522E-2</v>
      </c>
      <c r="AN9" s="1">
        <v>3.3316789134963283E-2</v>
      </c>
      <c r="AO9" s="1">
        <v>-3.1621636992527652E-2</v>
      </c>
      <c r="AP9" s="1">
        <v>4.0264783927908977E-2</v>
      </c>
      <c r="AQ9" s="1">
        <v>1.333665662736465E-2</v>
      </c>
      <c r="AR9" s="1">
        <v>2.9341157471816839E-2</v>
      </c>
      <c r="AS9" s="1">
        <v>1.90658537512594E-3</v>
      </c>
      <c r="AT9" s="1">
        <v>-1.2302802205045239E-2</v>
      </c>
      <c r="AU9" s="1">
        <v>0.1240603544088469</v>
      </c>
      <c r="AV9" s="1">
        <v>0.10557161912467521</v>
      </c>
      <c r="AW9" s="2">
        <v>-0.25443697425992251</v>
      </c>
      <c r="AX9" s="1">
        <v>-5.9186400991305822E-2</v>
      </c>
      <c r="AY9" s="1">
        <v>-2.5881855302482561E-3</v>
      </c>
      <c r="AZ9" s="1">
        <v>-9.7323568856645296E-2</v>
      </c>
      <c r="BA9" s="1">
        <v>-0.13870005672010041</v>
      </c>
      <c r="BB9" s="1">
        <v>-8.4612777168744324E-2</v>
      </c>
      <c r="BC9" s="1">
        <v>-4.7523309145394557E-2</v>
      </c>
      <c r="BD9" s="1">
        <v>-1.3102069997285869E-2</v>
      </c>
      <c r="BE9" s="1">
        <v>-1.8200908053522591E-2</v>
      </c>
      <c r="BF9" s="1">
        <v>-3.2504178041675227E-2</v>
      </c>
      <c r="BG9" s="1">
        <v>-4.3245848687965383E-2</v>
      </c>
      <c r="BH9" s="1">
        <v>-5.2609374099154518E-2</v>
      </c>
      <c r="BI9" s="1">
        <v>-5.3105310934572318E-2</v>
      </c>
      <c r="BJ9" s="1">
        <v>-3.5000972107353499E-2</v>
      </c>
      <c r="BK9" s="1">
        <v>-5.6526949793591602E-2</v>
      </c>
      <c r="BL9" s="1">
        <v>7.2494263747553717E-2</v>
      </c>
      <c r="BM9" s="1">
        <v>2.0325939060801788E-2</v>
      </c>
      <c r="BN9" s="1">
        <v>-9.7253176908718569E-3</v>
      </c>
      <c r="BO9" s="1">
        <v>-8.2781986574202195E-3</v>
      </c>
      <c r="BP9" s="2">
        <v>0.28217403127740209</v>
      </c>
      <c r="BQ9" s="2">
        <v>0.27190470258835242</v>
      </c>
      <c r="BR9" s="1">
        <v>1.8689365342146599E-2</v>
      </c>
      <c r="BS9" s="1">
        <v>-1.6443417659527681E-2</v>
      </c>
      <c r="BT9" s="1">
        <v>4.9830639908779707E-2</v>
      </c>
      <c r="BU9" s="1">
        <v>-3.1311906287670749E-2</v>
      </c>
      <c r="BV9" s="1">
        <v>5.0592708749713972E-2</v>
      </c>
      <c r="BW9" s="1">
        <v>-2.4009266702536881E-2</v>
      </c>
      <c r="BX9" s="1">
        <v>7.48424493016355E-2</v>
      </c>
      <c r="BY9" s="1">
        <v>-2.685214091740289E-2</v>
      </c>
      <c r="BZ9" s="1">
        <v>9.6865532988088948E-2</v>
      </c>
      <c r="CA9" s="1">
        <v>-6.1414770998238929E-2</v>
      </c>
      <c r="CB9" s="1">
        <v>9.9873235349032752E-2</v>
      </c>
      <c r="CC9" s="1">
        <v>-5.6679548908545381E-2</v>
      </c>
      <c r="CD9" s="1">
        <v>9.1906907539971563E-2</v>
      </c>
      <c r="CE9" s="1">
        <v>-3.6212753840411463E-2</v>
      </c>
      <c r="CF9" s="1">
        <v>0.12210080478941671</v>
      </c>
      <c r="CG9" s="1">
        <v>-4.9973294854688807E-2</v>
      </c>
      <c r="CH9" s="1">
        <v>9.00815950641186E-2</v>
      </c>
      <c r="CI9" s="1">
        <v>-4.0799459238488399E-2</v>
      </c>
      <c r="CJ9" s="1">
        <v>7.9537236841412021E-2</v>
      </c>
      <c r="CK9" s="1">
        <v>-1.6371002629916559E-2</v>
      </c>
    </row>
    <row r="10" spans="1:89" ht="15" customHeight="1" x14ac:dyDescent="0.2">
      <c r="A10" s="10"/>
      <c r="B10" s="1" t="s">
        <v>1</v>
      </c>
      <c r="C10" s="1">
        <v>2.3846134811294169E-2</v>
      </c>
      <c r="D10" s="1">
        <v>-8.5254475286302256E-2</v>
      </c>
      <c r="E10" s="1">
        <v>-4.9170114538382159E-2</v>
      </c>
      <c r="F10" s="1">
        <v>-0.1248230830162347</v>
      </c>
      <c r="G10" s="1">
        <v>-3.6127514503199121E-2</v>
      </c>
      <c r="H10" s="1">
        <v>-6.6643043007710179E-2</v>
      </c>
      <c r="I10" s="1">
        <v>-4.0961828174156327E-2</v>
      </c>
      <c r="J10" s="1">
        <v>-6.7961132675724609E-2</v>
      </c>
      <c r="K10" s="1">
        <v>-6.2522648651801599E-2</v>
      </c>
      <c r="L10" s="1">
        <v>4.7177371426500359E-2</v>
      </c>
      <c r="M10" s="1">
        <v>-7.7907222927165218E-2</v>
      </c>
      <c r="N10" s="1">
        <v>-7.8787434006542159E-2</v>
      </c>
      <c r="O10" s="1">
        <v>-8.8774734363839411E-2</v>
      </c>
      <c r="P10" s="1">
        <v>3.8537533295282388E-2</v>
      </c>
      <c r="Q10" s="2">
        <v>-0.19485770182983181</v>
      </c>
      <c r="R10" s="1">
        <v>-6.0810339025907163E-2</v>
      </c>
      <c r="S10" s="1">
        <v>-2.8569700708620518E-3</v>
      </c>
      <c r="T10" s="1">
        <v>-6.2681295181213126E-2</v>
      </c>
      <c r="U10" s="2">
        <v>-0.15100773806993181</v>
      </c>
      <c r="V10" s="1">
        <v>3.8535184722525637E-2</v>
      </c>
      <c r="W10" s="1">
        <v>-3.5537303530883517E-2</v>
      </c>
      <c r="X10" s="1">
        <v>4.086683770588614E-4</v>
      </c>
      <c r="Y10" s="1">
        <v>-2.04146286042973E-2</v>
      </c>
      <c r="Z10" s="2">
        <v>0.530913138359843</v>
      </c>
      <c r="AA10" s="2">
        <v>0.29415035175608267</v>
      </c>
      <c r="AB10" s="1">
        <v>4.854765523024409E-2</v>
      </c>
      <c r="AC10" s="1">
        <v>4.4095954598688668E-2</v>
      </c>
      <c r="AD10" s="1">
        <v>3.1340988453284688E-2</v>
      </c>
      <c r="AE10" s="2">
        <v>-0.1660160912015004</v>
      </c>
      <c r="AF10" s="1">
        <v>-3.0859355447709061E-3</v>
      </c>
      <c r="AG10" s="1">
        <v>-9.1717592303719744E-2</v>
      </c>
      <c r="AH10" s="1">
        <v>2.1573471037254221E-2</v>
      </c>
      <c r="AI10" s="1">
        <v>0.1234381412754841</v>
      </c>
      <c r="AJ10" s="1">
        <v>4.0760342071391453E-2</v>
      </c>
      <c r="AK10" s="1">
        <v>-3.734044316716989E-2</v>
      </c>
      <c r="AL10" s="1">
        <v>-1.083133465952635E-2</v>
      </c>
      <c r="AM10" s="1">
        <v>-2.271351284273183E-2</v>
      </c>
      <c r="AN10" s="1">
        <v>6.1359300542140428E-2</v>
      </c>
      <c r="AO10" s="1">
        <v>3.3549329818450657E-2</v>
      </c>
      <c r="AP10" s="1">
        <v>-2.950706299154205E-2</v>
      </c>
      <c r="AQ10" s="1">
        <v>-1.573653810079044E-2</v>
      </c>
      <c r="AR10" s="1">
        <v>-2.937652047566577E-2</v>
      </c>
      <c r="AS10" s="1">
        <v>1.9862782799273488E-3</v>
      </c>
      <c r="AT10" s="1">
        <v>-2.7008123399614632E-2</v>
      </c>
      <c r="AU10" s="1">
        <v>-8.4493641698037639E-3</v>
      </c>
      <c r="AV10" s="1">
        <v>2.128952905075936E-2</v>
      </c>
      <c r="AW10" s="2">
        <v>0.25018387590521413</v>
      </c>
      <c r="AX10" s="1">
        <v>0.1119653336279068</v>
      </c>
      <c r="AY10" s="1">
        <v>-9.8799316174297255E-2</v>
      </c>
      <c r="AZ10" s="1">
        <v>0.11581811569524469</v>
      </c>
      <c r="BA10" s="1">
        <v>0.1086071947331184</v>
      </c>
      <c r="BB10" s="1">
        <v>6.360045019847349E-2</v>
      </c>
      <c r="BC10" s="1">
        <v>8.3301963300333737E-2</v>
      </c>
      <c r="BD10" s="1">
        <v>-1.690824198805427E-3</v>
      </c>
      <c r="BE10" s="1">
        <v>6.9223313456927543E-3</v>
      </c>
      <c r="BF10" s="1">
        <v>4.3816811298214603E-2</v>
      </c>
      <c r="BG10" s="1">
        <v>-1.9069703022612169E-2</v>
      </c>
      <c r="BH10" s="1">
        <v>-1.7219621641413399E-3</v>
      </c>
      <c r="BI10" s="1">
        <v>-1.136301289492884E-2</v>
      </c>
      <c r="BJ10" s="1">
        <v>4.0775482006329668E-2</v>
      </c>
      <c r="BK10" s="1">
        <v>0.12715102282191451</v>
      </c>
      <c r="BL10" s="1">
        <v>9.1503153073393045E-2</v>
      </c>
      <c r="BM10" s="1">
        <v>-0.12228336447130481</v>
      </c>
      <c r="BN10" s="1">
        <v>-2.4255743322110689E-2</v>
      </c>
      <c r="BO10" s="1">
        <v>1.045604864051999E-2</v>
      </c>
      <c r="BP10" s="2">
        <v>-0.29046023941035293</v>
      </c>
      <c r="BQ10" s="2">
        <v>-0.19018627956401421</v>
      </c>
      <c r="BR10" s="1">
        <v>-4.0249885524200717E-2</v>
      </c>
      <c r="BS10" s="1">
        <v>3.1421306551397778E-2</v>
      </c>
      <c r="BT10" s="1">
        <v>-0.1235205441857477</v>
      </c>
      <c r="BU10" s="1">
        <v>7.3735940240950482E-2</v>
      </c>
      <c r="BV10" s="1">
        <v>-8.5824927965258174E-2</v>
      </c>
      <c r="BW10" s="1">
        <v>4.1638740508196902E-2</v>
      </c>
      <c r="BX10" s="1">
        <v>-8.9495552630137115E-2</v>
      </c>
      <c r="BY10" s="1">
        <v>3.1111711508543891E-2</v>
      </c>
      <c r="BZ10" s="1">
        <v>-0.1049513534189232</v>
      </c>
      <c r="CA10" s="1">
        <v>5.9896004433647149E-2</v>
      </c>
      <c r="CB10" s="1">
        <v>-9.9149220340296496E-2</v>
      </c>
      <c r="CC10" s="1">
        <v>5.8443545728832869E-2</v>
      </c>
      <c r="CD10" s="2">
        <v>-0.141224936941792</v>
      </c>
      <c r="CE10" s="1">
        <v>7.057061992973658E-2</v>
      </c>
      <c r="CF10" s="2">
        <v>-0.13763291340719039</v>
      </c>
      <c r="CG10" s="1">
        <v>6.7179635052941417E-2</v>
      </c>
      <c r="CH10" s="1">
        <v>-0.1068266763059679</v>
      </c>
      <c r="CI10" s="1">
        <v>5.4112382012615069E-2</v>
      </c>
      <c r="CJ10" s="1">
        <v>-8.5673351344843857E-2</v>
      </c>
      <c r="CK10" s="1">
        <v>1.899605543486468E-2</v>
      </c>
    </row>
    <row r="11" spans="1:89" ht="15" customHeight="1" x14ac:dyDescent="0.2">
      <c r="A11" s="10"/>
      <c r="B11" s="1" t="s">
        <v>2</v>
      </c>
      <c r="C11" s="1">
        <v>0.14802673387885321</v>
      </c>
      <c r="D11" s="1">
        <v>-9.8339447269321867E-2</v>
      </c>
      <c r="E11" s="1">
        <v>-6.8373910453251696E-2</v>
      </c>
      <c r="F11" s="1">
        <v>-3.9782990715174327E-2</v>
      </c>
      <c r="G11" s="2">
        <v>0.19876618963933609</v>
      </c>
      <c r="H11" s="1">
        <v>0.1136604286940158</v>
      </c>
      <c r="I11" s="2">
        <v>-0.27458639038576282</v>
      </c>
      <c r="J11" s="2">
        <v>-0.28017547600951509</v>
      </c>
      <c r="K11" s="1">
        <v>6.8062569539638212E-3</v>
      </c>
      <c r="L11" s="1">
        <v>2.9070781403948229E-3</v>
      </c>
      <c r="M11" s="1">
        <v>5.7647686606094747E-2</v>
      </c>
      <c r="N11" s="1">
        <v>6.248952921177716E-3</v>
      </c>
      <c r="O11" s="1">
        <v>-1.6151794147460371E-2</v>
      </c>
      <c r="P11" s="1">
        <v>3.5945800714549052E-2</v>
      </c>
      <c r="Q11" s="1">
        <v>0.11371489967755009</v>
      </c>
      <c r="R11" s="1">
        <v>5.4876882089169923E-2</v>
      </c>
      <c r="S11" s="2">
        <v>0.3065533775558511</v>
      </c>
      <c r="T11" s="2">
        <v>-0.20315405511208501</v>
      </c>
      <c r="U11" s="1">
        <v>2.1919392481305811E-2</v>
      </c>
      <c r="V11" s="1">
        <v>2.589248725382761E-2</v>
      </c>
      <c r="W11" s="1">
        <v>0.16039990240623631</v>
      </c>
      <c r="X11" s="1">
        <v>-0.15707282858919561</v>
      </c>
      <c r="Y11" s="1">
        <v>2.3883869332012819E-2</v>
      </c>
      <c r="Z11" s="1">
        <v>-7.1212707993961719E-2</v>
      </c>
      <c r="AA11" s="1">
        <v>-0.1318387136036408</v>
      </c>
      <c r="AB11" s="2">
        <v>-0.22018959437899341</v>
      </c>
      <c r="AC11" s="1">
        <v>-2.3119045594438122E-2</v>
      </c>
      <c r="AD11" s="2">
        <v>-0.26541195865894512</v>
      </c>
      <c r="AE11" s="1">
        <v>-0.14291759618666741</v>
      </c>
      <c r="AF11" s="1">
        <v>-6.1027691136962943E-2</v>
      </c>
      <c r="AG11" s="1">
        <v>-0.1387617007014969</v>
      </c>
      <c r="AH11" s="1">
        <v>-1.28272511327317E-2</v>
      </c>
      <c r="AI11" s="1">
        <v>6.6551442233052593E-2</v>
      </c>
      <c r="AJ11" s="1">
        <v>1.208495134180685E-2</v>
      </c>
      <c r="AK11" s="1">
        <v>-6.5601854225740769E-3</v>
      </c>
      <c r="AL11" s="1">
        <v>4.3007802483984107E-2</v>
      </c>
      <c r="AM11" s="1">
        <v>-4.1279442767126383E-2</v>
      </c>
      <c r="AN11" s="1">
        <v>-8.13462855372242E-3</v>
      </c>
      <c r="AO11" s="1">
        <v>3.9386293875814327E-2</v>
      </c>
      <c r="AP11" s="2">
        <v>-0.201113254604809</v>
      </c>
      <c r="AQ11" s="2">
        <v>-0.22930772544798561</v>
      </c>
      <c r="AR11" s="1">
        <v>-1.8883083002242201E-2</v>
      </c>
      <c r="AS11" s="1">
        <v>-3.089034784131943E-3</v>
      </c>
      <c r="AT11" s="1">
        <v>0.16922563302121479</v>
      </c>
      <c r="AU11" s="1">
        <v>5.5423938628221148E-2</v>
      </c>
      <c r="AV11" s="1">
        <v>-0.15668616186683471</v>
      </c>
      <c r="AW11" s="1">
        <v>-1.899853497726724E-2</v>
      </c>
      <c r="AX11" s="1">
        <v>-1.0630967614782549E-2</v>
      </c>
      <c r="AY11" s="2">
        <v>-0.19440462806938549</v>
      </c>
      <c r="AZ11" s="1">
        <v>-0.12992298768813959</v>
      </c>
      <c r="BA11" s="1">
        <v>-3.1537572814547853E-2</v>
      </c>
      <c r="BB11" s="1">
        <v>3.8209183764081958E-2</v>
      </c>
      <c r="BC11" s="1">
        <v>9.4162395648761874E-2</v>
      </c>
      <c r="BD11" s="1">
        <v>1.9262894108765621E-2</v>
      </c>
      <c r="BE11" s="1">
        <v>4.262292084560064E-2</v>
      </c>
      <c r="BF11" s="1">
        <v>3.179553198511241E-2</v>
      </c>
      <c r="BG11" s="1">
        <v>-1.029674308202135E-2</v>
      </c>
      <c r="BH11" s="1">
        <v>-1.174474079162484E-2</v>
      </c>
      <c r="BI11" s="1">
        <v>2.874563656710316E-3</v>
      </c>
      <c r="BJ11" s="1">
        <v>6.1412049786841387E-2</v>
      </c>
      <c r="BK11" s="1">
        <v>-0.1080060069577225</v>
      </c>
      <c r="BL11" s="1">
        <v>-0.1450865302902154</v>
      </c>
      <c r="BM11" s="1">
        <v>0.18022146633244099</v>
      </c>
      <c r="BN11" s="1">
        <v>5.7911446965748153E-2</v>
      </c>
      <c r="BO11" s="1">
        <v>-6.2089177931353268E-2</v>
      </c>
      <c r="BP11" s="1">
        <v>1.9570903662255151E-2</v>
      </c>
      <c r="BQ11" s="1">
        <v>-1.1434151849825481E-2</v>
      </c>
      <c r="BR11" s="1">
        <v>-6.706123876629988E-2</v>
      </c>
      <c r="BS11" s="1">
        <v>4.3410366978976878E-2</v>
      </c>
      <c r="BT11" s="1">
        <v>-9.361218824888215E-2</v>
      </c>
      <c r="BU11" s="1">
        <v>6.2696746746026349E-2</v>
      </c>
      <c r="BV11" s="1">
        <v>-6.2901960536681303E-2</v>
      </c>
      <c r="BW11" s="1">
        <v>3.5761327416195261E-2</v>
      </c>
      <c r="BX11" s="1">
        <v>-7.0907672234481051E-2</v>
      </c>
      <c r="BY11" s="1">
        <v>2.555659891170195E-2</v>
      </c>
      <c r="BZ11" s="1">
        <v>-7.5253501790430444E-2</v>
      </c>
      <c r="CA11" s="1">
        <v>5.8557011830643407E-2</v>
      </c>
      <c r="CB11" s="1">
        <v>-4.7210546240477741E-2</v>
      </c>
      <c r="CC11" s="1">
        <v>4.3706737541642893E-2</v>
      </c>
      <c r="CD11" s="1">
        <v>-6.7589676847348554E-2</v>
      </c>
      <c r="CE11" s="1">
        <v>2.493002357580618E-2</v>
      </c>
      <c r="CF11" s="1">
        <v>-5.0378601975958927E-2</v>
      </c>
      <c r="CG11" s="1">
        <v>2.1859637105577319E-2</v>
      </c>
      <c r="CH11" s="1">
        <v>-3.7593144746291607E-2</v>
      </c>
      <c r="CI11" s="1">
        <v>2.2268861812507468E-2</v>
      </c>
      <c r="CJ11" s="1">
        <v>-4.9190548396644912E-2</v>
      </c>
      <c r="CK11" s="1">
        <v>1.6223911435534279E-2</v>
      </c>
    </row>
    <row r="12" spans="1:89" x14ac:dyDescent="0.2">
      <c r="A12" s="10"/>
      <c r="B12" s="1" t="s">
        <v>3</v>
      </c>
      <c r="C12" s="1">
        <v>4.9339976260924748E-2</v>
      </c>
      <c r="D12" s="1">
        <v>-0.1145538309184076</v>
      </c>
      <c r="E12" s="1">
        <v>-7.933624837702756E-2</v>
      </c>
      <c r="F12" s="1">
        <v>9.9186349906207463E-2</v>
      </c>
      <c r="G12" s="1">
        <v>-2.5434872518631E-2</v>
      </c>
      <c r="H12" s="1">
        <v>3.1455731975953971E-3</v>
      </c>
      <c r="I12" s="2">
        <v>0.24446503539301581</v>
      </c>
      <c r="J12" s="2">
        <v>0.17259427196920629</v>
      </c>
      <c r="K12" s="1">
        <v>-9.2517913003842267E-4</v>
      </c>
      <c r="L12" s="1">
        <v>1.2874489265968739E-2</v>
      </c>
      <c r="M12" s="2">
        <v>0.53716412413360282</v>
      </c>
      <c r="N12" s="2">
        <v>0.22313397012823691</v>
      </c>
      <c r="O12" s="1">
        <v>-0.10368008138245011</v>
      </c>
      <c r="P12" s="1">
        <v>6.5658911338278086E-2</v>
      </c>
      <c r="Q12" s="1">
        <v>3.1180342592622709E-3</v>
      </c>
      <c r="R12" s="1">
        <v>7.2158450380600522E-2</v>
      </c>
      <c r="S12" s="1">
        <v>4.7934429586861643E-2</v>
      </c>
      <c r="T12" s="1">
        <v>3.8634165340954367E-2</v>
      </c>
      <c r="U12" s="1">
        <v>1.4734758722348491E-2</v>
      </c>
      <c r="V12" s="1">
        <v>-5.9499481982066171E-2</v>
      </c>
      <c r="W12" s="1">
        <v>-2.9025185229030119E-3</v>
      </c>
      <c r="X12" s="1">
        <v>5.3242848719353762E-4</v>
      </c>
      <c r="Y12" s="1">
        <v>4.0706030642238947E-2</v>
      </c>
      <c r="Z12" s="1">
        <v>-7.6724289422344036E-2</v>
      </c>
      <c r="AA12" s="1">
        <v>-4.2529272545978082E-3</v>
      </c>
      <c r="AB12" s="1">
        <v>9.9210091593304947E-2</v>
      </c>
      <c r="AC12" s="1">
        <v>6.7053198507066356E-2</v>
      </c>
      <c r="AD12" s="1">
        <v>3.5184267745066028E-2</v>
      </c>
      <c r="AE12" s="2">
        <v>0.13588191634809679</v>
      </c>
      <c r="AF12" s="1">
        <v>8.9020187904599229E-2</v>
      </c>
      <c r="AG12" s="1">
        <v>7.7181678448666996E-2</v>
      </c>
      <c r="AH12" s="1">
        <v>-4.4315046594618129E-2</v>
      </c>
      <c r="AI12" s="2">
        <v>0.44117556500839289</v>
      </c>
      <c r="AJ12" s="2">
        <v>0.23290646295198791</v>
      </c>
      <c r="AK12" s="1">
        <v>2.8301779110689849E-2</v>
      </c>
      <c r="AL12" s="1">
        <v>4.498132155125744E-2</v>
      </c>
      <c r="AM12" s="1">
        <v>9.9059107014759055E-3</v>
      </c>
      <c r="AN12" s="1">
        <v>2.4760517362405761E-2</v>
      </c>
      <c r="AO12" s="1">
        <v>-5.3366842628823569E-3</v>
      </c>
      <c r="AP12" s="1">
        <v>5.426776155334153E-3</v>
      </c>
      <c r="AQ12" s="1">
        <v>7.5903586232679027E-3</v>
      </c>
      <c r="AR12" s="1">
        <v>-9.1629644708960834E-3</v>
      </c>
      <c r="AS12" s="1">
        <v>-2.5968471124758561E-4</v>
      </c>
      <c r="AT12" s="1">
        <v>3.5779053460429401E-2</v>
      </c>
      <c r="AU12" s="1">
        <v>0.11315257578355919</v>
      </c>
      <c r="AV12" s="1">
        <v>6.3883716168861557E-2</v>
      </c>
      <c r="AW12" s="1">
        <v>-5.0623840751304543E-2</v>
      </c>
      <c r="AX12" s="2">
        <v>0.1624056935644283</v>
      </c>
      <c r="AY12" s="2">
        <v>-0.13770330353419949</v>
      </c>
      <c r="AZ12" s="1">
        <v>-3.4759428308855742E-2</v>
      </c>
      <c r="BA12" s="1">
        <v>0.13009337617216471</v>
      </c>
      <c r="BB12" s="2">
        <v>0.21126177685623579</v>
      </c>
      <c r="BC12" s="1">
        <v>0.1137447218984685</v>
      </c>
      <c r="BD12" s="1">
        <v>1.603997140599971E-2</v>
      </c>
      <c r="BE12" s="1">
        <v>1.4761705168546531E-2</v>
      </c>
      <c r="BF12" s="1">
        <v>4.2666670099197222E-3</v>
      </c>
      <c r="BG12" s="1">
        <v>-4.1760057481681268E-2</v>
      </c>
      <c r="BH12" s="1">
        <v>-4.0182666990355519E-2</v>
      </c>
      <c r="BI12" s="1">
        <v>-2.8193401605648451E-2</v>
      </c>
      <c r="BJ12" s="1">
        <v>7.1591598222209302E-3</v>
      </c>
      <c r="BK12" s="1">
        <v>2.8039921807882211E-2</v>
      </c>
      <c r="BL12" s="1">
        <v>6.4959962222457063E-2</v>
      </c>
      <c r="BM12" s="1">
        <v>3.5425387411294071E-2</v>
      </c>
      <c r="BN12" s="1">
        <v>2.0707905085270671E-3</v>
      </c>
      <c r="BO12" s="1">
        <v>-7.8560990414651755E-2</v>
      </c>
      <c r="BP12" s="1">
        <v>4.6820986481630952E-2</v>
      </c>
      <c r="BQ12" s="1">
        <v>5.1180020102941287E-2</v>
      </c>
      <c r="BR12" s="1">
        <v>-6.7788533225028383E-2</v>
      </c>
      <c r="BS12" s="1">
        <v>3.7889102080737792E-2</v>
      </c>
      <c r="BT12" s="1">
        <v>-0.11769008971572251</v>
      </c>
      <c r="BU12" s="1">
        <v>4.7553687758143587E-2</v>
      </c>
      <c r="BV12" s="1">
        <v>-2.752482415871611E-2</v>
      </c>
      <c r="BW12" s="1">
        <v>7.3233131429278654E-3</v>
      </c>
      <c r="BX12" s="1">
        <v>-4.5365401758401168E-2</v>
      </c>
      <c r="BY12" s="1">
        <v>1.1949244071096991E-2</v>
      </c>
      <c r="BZ12" s="1">
        <v>-6.7924181491878663E-2</v>
      </c>
      <c r="CA12" s="1">
        <v>2.5533392695574818E-2</v>
      </c>
      <c r="CB12" s="1">
        <v>-8.9857252429116977E-3</v>
      </c>
      <c r="CC12" s="1">
        <v>-7.7557065550236002E-3</v>
      </c>
      <c r="CD12" s="1">
        <v>-6.5693101699648468E-2</v>
      </c>
      <c r="CE12" s="1">
        <v>2.9966542604115388E-2</v>
      </c>
      <c r="CF12" s="1">
        <v>-2.1582940747859381E-3</v>
      </c>
      <c r="CG12" s="1">
        <v>-1.4450400350974439E-2</v>
      </c>
      <c r="CH12" s="1">
        <v>1.074555593933546E-2</v>
      </c>
      <c r="CI12" s="1">
        <v>-4.1750618810524942E-2</v>
      </c>
      <c r="CJ12" s="1">
        <v>8.5577161048058618E-3</v>
      </c>
      <c r="CK12" s="1">
        <v>-8.3104883742926329E-3</v>
      </c>
    </row>
    <row r="13" spans="1:89" ht="15" customHeight="1" x14ac:dyDescent="0.2"/>
    <row r="14" spans="1:89" ht="15" customHeight="1" x14ac:dyDescent="0.2">
      <c r="A14" s="10" t="s">
        <v>9</v>
      </c>
      <c r="B14" s="1" t="s">
        <v>0</v>
      </c>
      <c r="C14" s="1">
        <v>2.7904557452657321E-2</v>
      </c>
      <c r="D14" s="1">
        <v>-9.4275780003071963E-2</v>
      </c>
      <c r="E14" s="1">
        <v>-7.6509115713765063E-2</v>
      </c>
      <c r="F14" s="1">
        <v>-4.7485080812324609E-2</v>
      </c>
      <c r="G14" s="1">
        <v>-0.1198367376736882</v>
      </c>
      <c r="H14" s="1">
        <v>8.3733257446549914E-2</v>
      </c>
      <c r="I14" s="1">
        <v>-0.13788638156862459</v>
      </c>
      <c r="J14" s="2">
        <v>-0.1845839064196084</v>
      </c>
      <c r="K14" s="1">
        <v>-3.8702460096836283E-2</v>
      </c>
      <c r="L14" s="1">
        <v>5.788894007434945E-2</v>
      </c>
      <c r="M14" s="1">
        <v>-2.1030616877834338E-2</v>
      </c>
      <c r="N14" s="1">
        <v>4.1214425603369229E-2</v>
      </c>
      <c r="O14" s="1">
        <v>-7.1243565235690851E-2</v>
      </c>
      <c r="P14" s="1">
        <v>4.8515968684647991E-2</v>
      </c>
      <c r="Q14" s="2">
        <v>-0.21848774832806939</v>
      </c>
      <c r="R14" s="1">
        <v>0.134470109913497</v>
      </c>
      <c r="S14" s="1">
        <v>1.978635178062026E-2</v>
      </c>
      <c r="T14" s="2">
        <v>0.14781829450785611</v>
      </c>
      <c r="U14" s="1">
        <v>-9.3818136070316943E-2</v>
      </c>
      <c r="V14" s="1">
        <v>2.003874232108644E-2</v>
      </c>
      <c r="W14" s="1">
        <v>-2.6565221177233221E-2</v>
      </c>
      <c r="X14" s="1">
        <v>0.1290798969264364</v>
      </c>
      <c r="Y14" s="1">
        <v>4.5609358833711207E-2</v>
      </c>
      <c r="Z14" s="2">
        <v>0.33413455429876998</v>
      </c>
      <c r="AA14" s="2">
        <v>0.29935404682065492</v>
      </c>
      <c r="AB14" s="2">
        <v>-0.2319372893954269</v>
      </c>
      <c r="AC14" s="2">
        <v>-0.19835293417744049</v>
      </c>
      <c r="AD14" s="1">
        <v>-9.5600975434077973E-2</v>
      </c>
      <c r="AE14" s="1">
        <v>2.1475360765122751E-3</v>
      </c>
      <c r="AF14" s="1">
        <v>-0.1055949937295164</v>
      </c>
      <c r="AG14" s="1">
        <v>-2.979044492431852E-2</v>
      </c>
      <c r="AH14" s="1">
        <v>-9.8656618210798797E-2</v>
      </c>
      <c r="AI14" s="1">
        <v>0.13955289123347031</v>
      </c>
      <c r="AJ14" s="1">
        <v>0.1464350192411141</v>
      </c>
      <c r="AK14" s="1">
        <v>0.1156631080466326</v>
      </c>
      <c r="AL14" s="1">
        <v>3.8747078251150022E-2</v>
      </c>
      <c r="AM14" s="1">
        <v>3.8024402063927522E-2</v>
      </c>
      <c r="AN14" s="1">
        <v>3.3316789134963283E-2</v>
      </c>
      <c r="AO14" s="1">
        <v>-3.1621636992527652E-2</v>
      </c>
      <c r="AP14" s="1">
        <v>4.0264783927908977E-2</v>
      </c>
      <c r="AQ14" s="1">
        <v>1.333665662736465E-2</v>
      </c>
      <c r="AR14" s="1">
        <v>2.9341157471816839E-2</v>
      </c>
      <c r="AS14" s="1">
        <v>1.90658537512594E-3</v>
      </c>
      <c r="AT14" s="1">
        <v>-1.2302802205045239E-2</v>
      </c>
      <c r="AU14" s="1">
        <v>0.1240603544088469</v>
      </c>
      <c r="AV14" s="1">
        <v>0.10557161912467521</v>
      </c>
      <c r="AW14" s="2">
        <v>-0.25443697425992251</v>
      </c>
      <c r="AX14" s="1">
        <v>-5.9186400991305822E-2</v>
      </c>
      <c r="AY14" s="1">
        <v>-2.5881855302482561E-3</v>
      </c>
      <c r="AZ14" s="1">
        <v>-9.7323568856645296E-2</v>
      </c>
      <c r="BA14" s="1">
        <v>-0.13870005672010041</v>
      </c>
      <c r="BB14" s="1">
        <v>-8.4612777168744324E-2</v>
      </c>
      <c r="BC14" s="1">
        <v>-4.7523309145394557E-2</v>
      </c>
      <c r="BD14" s="1">
        <v>-1.3102069997285869E-2</v>
      </c>
      <c r="BE14" s="1">
        <v>-1.8200908053522591E-2</v>
      </c>
      <c r="BF14" s="1">
        <v>-3.2504178041675227E-2</v>
      </c>
      <c r="BG14" s="1">
        <v>-4.3245848687965383E-2</v>
      </c>
      <c r="BH14" s="1">
        <v>-5.2609374099154518E-2</v>
      </c>
      <c r="BI14" s="1">
        <v>-5.3105310934572318E-2</v>
      </c>
      <c r="BJ14" s="1">
        <v>-3.5000972107353499E-2</v>
      </c>
      <c r="BK14" s="1">
        <v>-5.6526949793591602E-2</v>
      </c>
      <c r="BL14" s="1">
        <v>7.2494263747553717E-2</v>
      </c>
      <c r="BM14" s="1">
        <v>2.0325939060801788E-2</v>
      </c>
      <c r="BN14" s="1">
        <v>-9.7253176908718569E-3</v>
      </c>
      <c r="BO14" s="1">
        <v>-8.2781986574202195E-3</v>
      </c>
      <c r="BP14" s="2">
        <v>0.28217403127740209</v>
      </c>
      <c r="BQ14" s="2">
        <v>0.27190470258835242</v>
      </c>
      <c r="BR14" s="1">
        <v>1.8689365342146599E-2</v>
      </c>
      <c r="BS14" s="1">
        <v>-1.6443417659527681E-2</v>
      </c>
      <c r="BT14" s="1">
        <v>4.9830639908779707E-2</v>
      </c>
      <c r="BU14" s="1">
        <v>-3.1311906287670749E-2</v>
      </c>
      <c r="BV14" s="1">
        <v>5.0592708749713972E-2</v>
      </c>
      <c r="BW14" s="1">
        <v>-2.4009266702536881E-2</v>
      </c>
      <c r="BX14" s="1">
        <v>7.48424493016355E-2</v>
      </c>
      <c r="BY14" s="1">
        <v>-2.685214091740289E-2</v>
      </c>
      <c r="BZ14" s="1">
        <v>9.6865532988088948E-2</v>
      </c>
      <c r="CA14" s="1">
        <v>-6.1414770998238929E-2</v>
      </c>
      <c r="CB14" s="1">
        <v>9.9873235349032752E-2</v>
      </c>
      <c r="CC14" s="1">
        <v>-5.6679548908545381E-2</v>
      </c>
      <c r="CD14" s="1">
        <v>9.1906907539971563E-2</v>
      </c>
      <c r="CE14" s="1">
        <v>-3.6212753840411463E-2</v>
      </c>
      <c r="CF14" s="1">
        <v>0.12210080478941671</v>
      </c>
      <c r="CG14" s="1">
        <v>-4.9973294854688807E-2</v>
      </c>
      <c r="CH14" s="1">
        <v>9.00815950641186E-2</v>
      </c>
      <c r="CI14" s="1">
        <v>-4.0799459238488399E-2</v>
      </c>
      <c r="CJ14" s="1">
        <v>7.9537236841412021E-2</v>
      </c>
      <c r="CK14" s="1">
        <v>-1.6371002629916559E-2</v>
      </c>
    </row>
    <row r="15" spans="1:89" ht="15" customHeight="1" x14ac:dyDescent="0.2">
      <c r="A15" s="10"/>
      <c r="B15" s="1" t="s">
        <v>1</v>
      </c>
      <c r="C15" s="1">
        <v>2.3846134811294169E-2</v>
      </c>
      <c r="D15" s="1">
        <v>-8.5254475286302256E-2</v>
      </c>
      <c r="E15" s="1">
        <v>-4.9170114538382159E-2</v>
      </c>
      <c r="F15" s="1">
        <v>-0.1248230830162347</v>
      </c>
      <c r="G15" s="1">
        <v>-3.6127514503199121E-2</v>
      </c>
      <c r="H15" s="1">
        <v>-6.6643043007710179E-2</v>
      </c>
      <c r="I15" s="1">
        <v>-4.0961828174156327E-2</v>
      </c>
      <c r="J15" s="1">
        <v>-6.7961132675724609E-2</v>
      </c>
      <c r="K15" s="1">
        <v>-6.2522648651801599E-2</v>
      </c>
      <c r="L15" s="1">
        <v>4.7177371426500359E-2</v>
      </c>
      <c r="M15" s="1">
        <v>-7.7907222927165218E-2</v>
      </c>
      <c r="N15" s="1">
        <v>-7.8787434006542159E-2</v>
      </c>
      <c r="O15" s="1">
        <v>-8.8774734363839411E-2</v>
      </c>
      <c r="P15" s="1">
        <v>3.8537533295282388E-2</v>
      </c>
      <c r="Q15" s="2">
        <v>-0.19485770182983181</v>
      </c>
      <c r="R15" s="1">
        <v>-6.0810339025907163E-2</v>
      </c>
      <c r="S15" s="1">
        <v>-2.8569700708620518E-3</v>
      </c>
      <c r="T15" s="1">
        <v>-6.2681295181213126E-2</v>
      </c>
      <c r="U15" s="2">
        <v>-0.15100773806993181</v>
      </c>
      <c r="V15" s="1">
        <v>3.8535184722525637E-2</v>
      </c>
      <c r="W15" s="1">
        <v>-3.5537303530883517E-2</v>
      </c>
      <c r="X15" s="1">
        <v>4.086683770588614E-4</v>
      </c>
      <c r="Y15" s="1">
        <v>-2.04146286042973E-2</v>
      </c>
      <c r="Z15" s="2">
        <v>0.530913138359843</v>
      </c>
      <c r="AA15" s="2">
        <v>0.29415035175608267</v>
      </c>
      <c r="AB15" s="1">
        <v>4.854765523024409E-2</v>
      </c>
      <c r="AC15" s="1">
        <v>4.4095954598688668E-2</v>
      </c>
      <c r="AD15" s="1">
        <v>3.1340988453284688E-2</v>
      </c>
      <c r="AE15" s="2">
        <v>-0.1660160912015004</v>
      </c>
      <c r="AF15" s="1">
        <v>-3.0859355447709061E-3</v>
      </c>
      <c r="AG15" s="1">
        <v>-9.1717592303719744E-2</v>
      </c>
      <c r="AH15" s="1">
        <v>2.1573471037254221E-2</v>
      </c>
      <c r="AI15" s="1">
        <v>0.1234381412754841</v>
      </c>
      <c r="AJ15" s="1">
        <v>4.0760342071391453E-2</v>
      </c>
      <c r="AK15" s="1">
        <v>-3.734044316716989E-2</v>
      </c>
      <c r="AL15" s="1">
        <v>-1.083133465952635E-2</v>
      </c>
      <c r="AM15" s="1">
        <v>-2.271351284273183E-2</v>
      </c>
      <c r="AN15" s="1">
        <v>6.1359300542140428E-2</v>
      </c>
      <c r="AO15" s="1">
        <v>3.3549329818450657E-2</v>
      </c>
      <c r="AP15" s="1">
        <v>-2.950706299154205E-2</v>
      </c>
      <c r="AQ15" s="1">
        <v>-1.573653810079044E-2</v>
      </c>
      <c r="AR15" s="1">
        <v>-2.937652047566577E-2</v>
      </c>
      <c r="AS15" s="1">
        <v>1.9862782799273488E-3</v>
      </c>
      <c r="AT15" s="1">
        <v>-2.7008123399614632E-2</v>
      </c>
      <c r="AU15" s="1">
        <v>-8.4493641698037639E-3</v>
      </c>
      <c r="AV15" s="1">
        <v>2.128952905075936E-2</v>
      </c>
      <c r="AW15" s="2">
        <v>0.25018387590521413</v>
      </c>
      <c r="AX15" s="1">
        <v>0.1119653336279068</v>
      </c>
      <c r="AY15" s="1">
        <v>-9.8799316174297255E-2</v>
      </c>
      <c r="AZ15" s="1">
        <v>0.11581811569524469</v>
      </c>
      <c r="BA15" s="1">
        <v>0.1086071947331184</v>
      </c>
      <c r="BB15" s="1">
        <v>6.360045019847349E-2</v>
      </c>
      <c r="BC15" s="1">
        <v>8.3301963300333737E-2</v>
      </c>
      <c r="BD15" s="1">
        <v>-1.690824198805427E-3</v>
      </c>
      <c r="BE15" s="1">
        <v>6.9223313456927543E-3</v>
      </c>
      <c r="BF15" s="1">
        <v>4.3816811298214603E-2</v>
      </c>
      <c r="BG15" s="1">
        <v>-1.9069703022612169E-2</v>
      </c>
      <c r="BH15" s="1">
        <v>-1.7219621641413399E-3</v>
      </c>
      <c r="BI15" s="1">
        <v>-1.136301289492884E-2</v>
      </c>
      <c r="BJ15" s="1">
        <v>4.0775482006329668E-2</v>
      </c>
      <c r="BK15" s="1">
        <v>0.12715102282191451</v>
      </c>
      <c r="BL15" s="1">
        <v>9.1503153073393045E-2</v>
      </c>
      <c r="BM15" s="1">
        <v>-0.12228336447130481</v>
      </c>
      <c r="BN15" s="1">
        <v>-2.4255743322110689E-2</v>
      </c>
      <c r="BO15" s="1">
        <v>1.045604864051999E-2</v>
      </c>
      <c r="BP15" s="2">
        <v>-0.29046023941035293</v>
      </c>
      <c r="BQ15" s="2">
        <v>-0.19018627956401421</v>
      </c>
      <c r="BR15" s="1">
        <v>-4.0249885524200717E-2</v>
      </c>
      <c r="BS15" s="1">
        <v>3.1421306551397778E-2</v>
      </c>
      <c r="BT15" s="1">
        <v>-0.1235205441857477</v>
      </c>
      <c r="BU15" s="1">
        <v>7.3735940240950482E-2</v>
      </c>
      <c r="BV15" s="1">
        <v>-8.5824927965258174E-2</v>
      </c>
      <c r="BW15" s="1">
        <v>4.1638740508196902E-2</v>
      </c>
      <c r="BX15" s="1">
        <v>-8.9495552630137115E-2</v>
      </c>
      <c r="BY15" s="1">
        <v>3.1111711508543891E-2</v>
      </c>
      <c r="BZ15" s="1">
        <v>-0.1049513534189232</v>
      </c>
      <c r="CA15" s="1">
        <v>5.9896004433647149E-2</v>
      </c>
      <c r="CB15" s="1">
        <v>-9.9149220340296496E-2</v>
      </c>
      <c r="CC15" s="1">
        <v>5.8443545728832869E-2</v>
      </c>
      <c r="CD15" s="2">
        <v>-0.141224936941792</v>
      </c>
      <c r="CE15" s="1">
        <v>7.057061992973658E-2</v>
      </c>
      <c r="CF15" s="2">
        <v>-0.13763291340719039</v>
      </c>
      <c r="CG15" s="1">
        <v>6.7179635052941417E-2</v>
      </c>
      <c r="CH15" s="1">
        <v>-0.1068266763059679</v>
      </c>
      <c r="CI15" s="1">
        <v>5.4112382012615069E-2</v>
      </c>
      <c r="CJ15" s="1">
        <v>-8.5673351344843857E-2</v>
      </c>
      <c r="CK15" s="1">
        <v>1.899605543486468E-2</v>
      </c>
    </row>
    <row r="16" spans="1:89" ht="15" customHeight="1" x14ac:dyDescent="0.2">
      <c r="A16" s="10"/>
      <c r="B16" s="1" t="s">
        <v>2</v>
      </c>
      <c r="C16" s="1">
        <v>0.14802673387885321</v>
      </c>
      <c r="D16" s="1">
        <v>-9.8339447269321867E-2</v>
      </c>
      <c r="E16" s="1">
        <v>-6.8373910453251696E-2</v>
      </c>
      <c r="F16" s="1">
        <v>-3.9782990715174327E-2</v>
      </c>
      <c r="G16" s="2">
        <v>0.19876618963933609</v>
      </c>
      <c r="H16" s="1">
        <v>0.1136604286940158</v>
      </c>
      <c r="I16" s="2">
        <v>-0.27458639038576282</v>
      </c>
      <c r="J16" s="2">
        <v>-0.28017547600951509</v>
      </c>
      <c r="K16" s="1">
        <v>6.8062569539638212E-3</v>
      </c>
      <c r="L16" s="1">
        <v>2.9070781403948229E-3</v>
      </c>
      <c r="M16" s="1">
        <v>5.7647686606094747E-2</v>
      </c>
      <c r="N16" s="1">
        <v>6.248952921177716E-3</v>
      </c>
      <c r="O16" s="1">
        <v>-1.6151794147460371E-2</v>
      </c>
      <c r="P16" s="1">
        <v>3.5945800714549052E-2</v>
      </c>
      <c r="Q16" s="1">
        <v>0.11371489967755009</v>
      </c>
      <c r="R16" s="1">
        <v>5.4876882089169923E-2</v>
      </c>
      <c r="S16" s="2">
        <v>0.3065533775558511</v>
      </c>
      <c r="T16" s="2">
        <v>-0.20315405511208501</v>
      </c>
      <c r="U16" s="1">
        <v>2.1919392481305811E-2</v>
      </c>
      <c r="V16" s="1">
        <v>2.589248725382761E-2</v>
      </c>
      <c r="W16" s="1">
        <v>0.16039990240623631</v>
      </c>
      <c r="X16" s="1">
        <v>-0.15707282858919561</v>
      </c>
      <c r="Y16" s="1">
        <v>2.3883869332012819E-2</v>
      </c>
      <c r="Z16" s="1">
        <v>-7.1212707993961719E-2</v>
      </c>
      <c r="AA16" s="1">
        <v>-0.1318387136036408</v>
      </c>
      <c r="AB16" s="2">
        <v>-0.22018959437899341</v>
      </c>
      <c r="AC16" s="1">
        <v>-2.3119045594438122E-2</v>
      </c>
      <c r="AD16" s="2">
        <v>-0.26541195865894512</v>
      </c>
      <c r="AE16" s="1">
        <v>-0.14291759618666741</v>
      </c>
      <c r="AF16" s="1">
        <v>-6.1027691136962943E-2</v>
      </c>
      <c r="AG16" s="1">
        <v>-0.1387617007014969</v>
      </c>
      <c r="AH16" s="1">
        <v>-1.28272511327317E-2</v>
      </c>
      <c r="AI16" s="1">
        <v>6.6551442233052593E-2</v>
      </c>
      <c r="AJ16" s="1">
        <v>1.208495134180685E-2</v>
      </c>
      <c r="AK16" s="1">
        <v>-6.5601854225740769E-3</v>
      </c>
      <c r="AL16" s="1">
        <v>4.3007802483984107E-2</v>
      </c>
      <c r="AM16" s="1">
        <v>-4.1279442767126383E-2</v>
      </c>
      <c r="AN16" s="1">
        <v>-8.13462855372242E-3</v>
      </c>
      <c r="AO16" s="1">
        <v>3.9386293875814327E-2</v>
      </c>
      <c r="AP16" s="2">
        <v>-0.201113254604809</v>
      </c>
      <c r="AQ16" s="2">
        <v>-0.22930772544798561</v>
      </c>
      <c r="AR16" s="1">
        <v>-1.8883083002242201E-2</v>
      </c>
      <c r="AS16" s="1">
        <v>-3.089034784131943E-3</v>
      </c>
      <c r="AT16" s="1">
        <v>0.16922563302121479</v>
      </c>
      <c r="AU16" s="1">
        <v>5.5423938628221148E-2</v>
      </c>
      <c r="AV16" s="1">
        <v>-0.15668616186683471</v>
      </c>
      <c r="AW16" s="1">
        <v>-1.899853497726724E-2</v>
      </c>
      <c r="AX16" s="1">
        <v>-1.0630967614782549E-2</v>
      </c>
      <c r="AY16" s="2">
        <v>-0.19440462806938549</v>
      </c>
      <c r="AZ16" s="1">
        <v>-0.12992298768813959</v>
      </c>
      <c r="BA16" s="1">
        <v>-3.1537572814547853E-2</v>
      </c>
      <c r="BB16" s="1">
        <v>3.8209183764081958E-2</v>
      </c>
      <c r="BC16" s="1">
        <v>9.4162395648761874E-2</v>
      </c>
      <c r="BD16" s="1">
        <v>1.9262894108765621E-2</v>
      </c>
      <c r="BE16" s="1">
        <v>4.262292084560064E-2</v>
      </c>
      <c r="BF16" s="1">
        <v>3.179553198511241E-2</v>
      </c>
      <c r="BG16" s="1">
        <v>-1.029674308202135E-2</v>
      </c>
      <c r="BH16" s="1">
        <v>-1.174474079162484E-2</v>
      </c>
      <c r="BI16" s="1">
        <v>2.874563656710316E-3</v>
      </c>
      <c r="BJ16" s="1">
        <v>6.1412049786841387E-2</v>
      </c>
      <c r="BK16" s="1">
        <v>-0.1080060069577225</v>
      </c>
      <c r="BL16" s="1">
        <v>-0.1450865302902154</v>
      </c>
      <c r="BM16" s="1">
        <v>0.18022146633244099</v>
      </c>
      <c r="BN16" s="1">
        <v>5.7911446965748153E-2</v>
      </c>
      <c r="BO16" s="1">
        <v>-6.2089177931353268E-2</v>
      </c>
      <c r="BP16" s="1">
        <v>1.9570903662255151E-2</v>
      </c>
      <c r="BQ16" s="1">
        <v>-1.1434151849825481E-2</v>
      </c>
      <c r="BR16" s="1">
        <v>-6.706123876629988E-2</v>
      </c>
      <c r="BS16" s="1">
        <v>4.3410366978976878E-2</v>
      </c>
      <c r="BT16" s="1">
        <v>-9.361218824888215E-2</v>
      </c>
      <c r="BU16" s="1">
        <v>6.2696746746026349E-2</v>
      </c>
      <c r="BV16" s="1">
        <v>-6.2901960536681303E-2</v>
      </c>
      <c r="BW16" s="1">
        <v>3.5761327416195261E-2</v>
      </c>
      <c r="BX16" s="1">
        <v>-7.0907672234481051E-2</v>
      </c>
      <c r="BY16" s="1">
        <v>2.555659891170195E-2</v>
      </c>
      <c r="BZ16" s="1">
        <v>-7.5253501790430444E-2</v>
      </c>
      <c r="CA16" s="1">
        <v>5.8557011830643407E-2</v>
      </c>
      <c r="CB16" s="1">
        <v>-4.7210546240477741E-2</v>
      </c>
      <c r="CC16" s="1">
        <v>4.3706737541642893E-2</v>
      </c>
      <c r="CD16" s="1">
        <v>-6.7589676847348554E-2</v>
      </c>
      <c r="CE16" s="1">
        <v>2.493002357580618E-2</v>
      </c>
      <c r="CF16" s="1">
        <v>-5.0378601975958927E-2</v>
      </c>
      <c r="CG16" s="1">
        <v>2.1859637105577319E-2</v>
      </c>
      <c r="CH16" s="1">
        <v>-3.7593144746291607E-2</v>
      </c>
      <c r="CI16" s="1">
        <v>2.2268861812507468E-2</v>
      </c>
      <c r="CJ16" s="1">
        <v>-4.9190548396644912E-2</v>
      </c>
      <c r="CK16" s="1">
        <v>1.6223911435534279E-2</v>
      </c>
    </row>
    <row r="17" spans="1:89" x14ac:dyDescent="0.2">
      <c r="A17" s="10"/>
      <c r="B17" s="1" t="s">
        <v>3</v>
      </c>
      <c r="C17" s="1">
        <v>4.9339976260924748E-2</v>
      </c>
      <c r="D17" s="1">
        <v>-0.1145538309184076</v>
      </c>
      <c r="E17" s="1">
        <v>-7.933624837702756E-2</v>
      </c>
      <c r="F17" s="1">
        <v>9.9186349906207463E-2</v>
      </c>
      <c r="G17" s="1">
        <v>-2.5434872518631E-2</v>
      </c>
      <c r="H17" s="1">
        <v>3.1455731975953971E-3</v>
      </c>
      <c r="I17" s="2">
        <v>0.24446503539301581</v>
      </c>
      <c r="J17" s="2">
        <v>0.17259427196920629</v>
      </c>
      <c r="K17" s="1">
        <v>-9.2517913003842267E-4</v>
      </c>
      <c r="L17" s="1">
        <v>1.2874489265968739E-2</v>
      </c>
      <c r="M17" s="2">
        <v>0.53716412413360282</v>
      </c>
      <c r="N17" s="2">
        <v>0.22313397012823691</v>
      </c>
      <c r="O17" s="1">
        <v>-0.10368008138245011</v>
      </c>
      <c r="P17" s="1">
        <v>6.5658911338278086E-2</v>
      </c>
      <c r="Q17" s="1">
        <v>3.1180342592622709E-3</v>
      </c>
      <c r="R17" s="1">
        <v>7.2158450380600522E-2</v>
      </c>
      <c r="S17" s="1">
        <v>4.7934429586861643E-2</v>
      </c>
      <c r="T17" s="1">
        <v>3.8634165340954367E-2</v>
      </c>
      <c r="U17" s="1">
        <v>1.4734758722348491E-2</v>
      </c>
      <c r="V17" s="1">
        <v>-5.9499481982066171E-2</v>
      </c>
      <c r="W17" s="1">
        <v>-2.9025185229030119E-3</v>
      </c>
      <c r="X17" s="1">
        <v>5.3242848719353762E-4</v>
      </c>
      <c r="Y17" s="1">
        <v>4.0706030642238947E-2</v>
      </c>
      <c r="Z17" s="1">
        <v>-7.6724289422344036E-2</v>
      </c>
      <c r="AA17" s="1">
        <v>-4.2529272545978082E-3</v>
      </c>
      <c r="AB17" s="1">
        <v>9.9210091593304947E-2</v>
      </c>
      <c r="AC17" s="1">
        <v>6.7053198507066356E-2</v>
      </c>
      <c r="AD17" s="1">
        <v>3.5184267745066028E-2</v>
      </c>
      <c r="AE17" s="2">
        <v>0.13588191634809679</v>
      </c>
      <c r="AF17" s="1">
        <v>8.9020187904599229E-2</v>
      </c>
      <c r="AG17" s="1">
        <v>7.7181678448666996E-2</v>
      </c>
      <c r="AH17" s="1">
        <v>-4.4315046594618129E-2</v>
      </c>
      <c r="AI17" s="2">
        <v>0.44117556500839289</v>
      </c>
      <c r="AJ17" s="2">
        <v>0.23290646295198791</v>
      </c>
      <c r="AK17" s="1">
        <v>2.8301779110689849E-2</v>
      </c>
      <c r="AL17" s="1">
        <v>4.498132155125744E-2</v>
      </c>
      <c r="AM17" s="1">
        <v>9.9059107014759055E-3</v>
      </c>
      <c r="AN17" s="1">
        <v>2.4760517362405761E-2</v>
      </c>
      <c r="AO17" s="1">
        <v>-5.3366842628823569E-3</v>
      </c>
      <c r="AP17" s="1">
        <v>5.426776155334153E-3</v>
      </c>
      <c r="AQ17" s="1">
        <v>7.5903586232679027E-3</v>
      </c>
      <c r="AR17" s="1">
        <v>-9.1629644708960834E-3</v>
      </c>
      <c r="AS17" s="1">
        <v>-2.5968471124758561E-4</v>
      </c>
      <c r="AT17" s="1">
        <v>3.5779053460429401E-2</v>
      </c>
      <c r="AU17" s="1">
        <v>0.11315257578355919</v>
      </c>
      <c r="AV17" s="1">
        <v>6.3883716168861557E-2</v>
      </c>
      <c r="AW17" s="1">
        <v>-5.0623840751304543E-2</v>
      </c>
      <c r="AX17" s="2">
        <v>0.1624056935644283</v>
      </c>
      <c r="AY17" s="2">
        <v>-0.13770330353419949</v>
      </c>
      <c r="AZ17" s="1">
        <v>-3.4759428308855742E-2</v>
      </c>
      <c r="BA17" s="1">
        <v>0.13009337617216471</v>
      </c>
      <c r="BB17" s="2">
        <v>0.21126177685623579</v>
      </c>
      <c r="BC17" s="1">
        <v>0.1137447218984685</v>
      </c>
      <c r="BD17" s="1">
        <v>1.603997140599971E-2</v>
      </c>
      <c r="BE17" s="1">
        <v>1.4761705168546531E-2</v>
      </c>
      <c r="BF17" s="1">
        <v>4.2666670099197222E-3</v>
      </c>
      <c r="BG17" s="1">
        <v>-4.1760057481681268E-2</v>
      </c>
      <c r="BH17" s="1">
        <v>-4.0182666990355519E-2</v>
      </c>
      <c r="BI17" s="1">
        <v>-2.8193401605648451E-2</v>
      </c>
      <c r="BJ17" s="1">
        <v>7.1591598222209302E-3</v>
      </c>
      <c r="BK17" s="1">
        <v>2.8039921807882211E-2</v>
      </c>
      <c r="BL17" s="1">
        <v>6.4959962222457063E-2</v>
      </c>
      <c r="BM17" s="1">
        <v>3.5425387411294071E-2</v>
      </c>
      <c r="BN17" s="1">
        <v>2.0707905085270671E-3</v>
      </c>
      <c r="BO17" s="1">
        <v>-7.8560990414651755E-2</v>
      </c>
      <c r="BP17" s="1">
        <v>4.6820986481630952E-2</v>
      </c>
      <c r="BQ17" s="1">
        <v>5.1180020102941287E-2</v>
      </c>
      <c r="BR17" s="1">
        <v>-6.7788533225028383E-2</v>
      </c>
      <c r="BS17" s="1">
        <v>3.7889102080737792E-2</v>
      </c>
      <c r="BT17" s="1">
        <v>-0.11769008971572251</v>
      </c>
      <c r="BU17" s="1">
        <v>4.7553687758143587E-2</v>
      </c>
      <c r="BV17" s="1">
        <v>-2.752482415871611E-2</v>
      </c>
      <c r="BW17" s="1">
        <v>7.3233131429278654E-3</v>
      </c>
      <c r="BX17" s="1">
        <v>-4.5365401758401168E-2</v>
      </c>
      <c r="BY17" s="1">
        <v>1.1949244071096991E-2</v>
      </c>
      <c r="BZ17" s="1">
        <v>-6.7924181491878663E-2</v>
      </c>
      <c r="CA17" s="1">
        <v>2.5533392695574818E-2</v>
      </c>
      <c r="CB17" s="1">
        <v>-8.9857252429116977E-3</v>
      </c>
      <c r="CC17" s="1">
        <v>-7.7557065550236002E-3</v>
      </c>
      <c r="CD17" s="1">
        <v>-6.5693101699648468E-2</v>
      </c>
      <c r="CE17" s="1">
        <v>2.9966542604115388E-2</v>
      </c>
      <c r="CF17" s="1">
        <v>-2.1582940747859381E-3</v>
      </c>
      <c r="CG17" s="1">
        <v>-1.4450400350974439E-2</v>
      </c>
      <c r="CH17" s="1">
        <v>1.074555593933546E-2</v>
      </c>
      <c r="CI17" s="1">
        <v>-4.1750618810524942E-2</v>
      </c>
      <c r="CJ17" s="1">
        <v>8.5577161048058618E-3</v>
      </c>
      <c r="CK17" s="1">
        <v>-8.3104883742926329E-3</v>
      </c>
    </row>
    <row r="18" spans="1:89" s="6" customFormat="1" ht="32.25" customHeight="1" x14ac:dyDescent="0.2">
      <c r="F18" s="6">
        <f>-F7</f>
        <v>0.1967151092028456</v>
      </c>
      <c r="G18" s="6">
        <f>G5+G11+G16</f>
        <v>0.59629856891800825</v>
      </c>
      <c r="I18" s="6">
        <f>-I5+I6+I7-I11+I12-I16+I17</f>
        <v>1.8480678794460348</v>
      </c>
      <c r="J18" s="6">
        <f>-J3-J5+J6+J17-J9-J11--J14-J16</f>
        <v>1.3702988783865662</v>
      </c>
      <c r="M18" s="6">
        <f>M6+M12+M17-M7</f>
        <v>1.873461216706505</v>
      </c>
      <c r="N18" s="6">
        <f>N6+N12+N17-N7</f>
        <v>0.88994358856382783</v>
      </c>
      <c r="Q18" s="6">
        <f>-Q3-Q4-Q9-Q10-Q14-Q15</f>
        <v>1.2400363504737038</v>
      </c>
      <c r="S18" s="6">
        <f>S5+S11+S16</f>
        <v>0.91966013266755331</v>
      </c>
      <c r="T18" s="6">
        <f>T3+T9+T14-T5-T11-T16</f>
        <v>1.0529170488598232</v>
      </c>
      <c r="U18" s="6">
        <f>-U4-U10-U15</f>
        <v>0.45302321420979541</v>
      </c>
      <c r="Z18" s="6">
        <f>Z3+Z4+Z7+Z9+Z10+Z14+Z15</f>
        <v>2.8708093142277655</v>
      </c>
      <c r="AA18" s="6">
        <f>AA3+AA4+AA9+AA10+AA14+AA15</f>
        <v>1.7805131957302129</v>
      </c>
      <c r="AB18" s="6">
        <f>-AB3-AB5-AB9-AB11-AB14-AB16</f>
        <v>1.356380651323261</v>
      </c>
      <c r="AC18" s="6">
        <f>-AC3-AC9-AC14</f>
        <v>0.59505880253232146</v>
      </c>
      <c r="AD18" s="6">
        <f>-AD5-AD11-AD16</f>
        <v>0.79623587597683532</v>
      </c>
      <c r="AE18" s="6">
        <f>-AE4-AE10-AE15+AE6+AE7+AE12+AE17</f>
        <v>1.1454223840304698</v>
      </c>
      <c r="AI18" s="6">
        <f>AI6+AI12+AI17</f>
        <v>1.3235266950251787</v>
      </c>
      <c r="AJ18" s="6">
        <f>AJ6+AJ12+AJ17</f>
        <v>0.69871938885596374</v>
      </c>
      <c r="AP18" s="6">
        <f>-AP5-AP11-AP16</f>
        <v>0.603339763814427</v>
      </c>
      <c r="AQ18" s="6">
        <f>-AQ5-AQ11-AQ16</f>
        <v>0.68792317634395683</v>
      </c>
      <c r="AV18" s="6">
        <f>-AV7</f>
        <v>0.20160862539146521</v>
      </c>
      <c r="AW18" s="6">
        <f>-AW3-AW7-AW9-AW14+AW4+AW10+AW15</f>
        <v>1.7407121990472785</v>
      </c>
      <c r="AX18" s="6">
        <f>AX6+AX12+AX17</f>
        <v>0.4872170806932849</v>
      </c>
      <c r="AY18" s="6">
        <f>-AY5-AY6-AY11-AY12-AY16-AY17</f>
        <v>0.99632379481075495</v>
      </c>
      <c r="BB18" s="6">
        <f>BB6+BB7+BB12+BB17</f>
        <v>0.82550503970925515</v>
      </c>
      <c r="BP18" s="6">
        <f>BP3+BP7+BP9+BP14-BP4-BP10-BP15</f>
        <v>1.9573729200734729</v>
      </c>
      <c r="BQ18" s="6">
        <f>BQ3+BQ9+BQ14-BQ4-BQ10-BQ15</f>
        <v>1.3862729464570998</v>
      </c>
      <c r="CD18" s="6">
        <f>-CD4-CD10-CD15</f>
        <v>0.423674810825376</v>
      </c>
      <c r="CF18" s="6">
        <f>-CF4-CF10-CF15</f>
        <v>0.41289874022157114</v>
      </c>
    </row>
    <row r="19" spans="1:89" s="7" customFormat="1" ht="32.25" customHeight="1" x14ac:dyDescent="0.2">
      <c r="F19" s="7">
        <v>3</v>
      </c>
      <c r="G19" s="7">
        <v>7</v>
      </c>
      <c r="I19" s="7">
        <v>18</v>
      </c>
      <c r="J19" s="7">
        <v>21</v>
      </c>
      <c r="M19" s="7">
        <v>10</v>
      </c>
      <c r="N19" s="7">
        <v>10</v>
      </c>
      <c r="Q19" s="7">
        <v>14</v>
      </c>
      <c r="S19" s="7">
        <v>7</v>
      </c>
      <c r="T19" s="7">
        <v>15</v>
      </c>
      <c r="U19" s="7">
        <v>7</v>
      </c>
      <c r="Z19" s="7">
        <v>17</v>
      </c>
      <c r="AA19" s="7">
        <v>14</v>
      </c>
      <c r="AB19" s="7">
        <v>15</v>
      </c>
      <c r="AC19" s="7">
        <v>8</v>
      </c>
      <c r="AD19" s="7">
        <v>7</v>
      </c>
      <c r="AE19" s="7">
        <v>18</v>
      </c>
      <c r="AI19" s="7">
        <v>8</v>
      </c>
      <c r="AJ19" s="7">
        <v>7</v>
      </c>
      <c r="AP19" s="7">
        <v>7</v>
      </c>
      <c r="AQ19" s="7">
        <v>7</v>
      </c>
      <c r="AV19" s="7">
        <v>3</v>
      </c>
      <c r="AW19" s="7">
        <v>18</v>
      </c>
      <c r="AX19" s="7">
        <v>7</v>
      </c>
      <c r="AY19" s="7">
        <v>14</v>
      </c>
      <c r="BB19" s="7">
        <v>10</v>
      </c>
      <c r="BP19" s="7">
        <v>18</v>
      </c>
      <c r="BQ19" s="7">
        <v>14</v>
      </c>
      <c r="CD19" s="7">
        <v>7</v>
      </c>
      <c r="CF19" s="7">
        <v>7</v>
      </c>
    </row>
    <row r="21" spans="1:89" x14ac:dyDescent="0.2">
      <c r="F21" s="1">
        <v>0.1967151092028456</v>
      </c>
      <c r="G21" s="1">
        <v>0.59629856891800825</v>
      </c>
      <c r="I21" s="1">
        <v>1.8480678794460348</v>
      </c>
      <c r="J21" s="1">
        <v>1.3702988783865662</v>
      </c>
      <c r="M21" s="1">
        <v>1.873461216706505</v>
      </c>
      <c r="N21" s="1">
        <v>0.88994358856382783</v>
      </c>
      <c r="Q21" s="1">
        <v>1.2400363504737038</v>
      </c>
      <c r="S21" s="1">
        <v>0.91966013266755331</v>
      </c>
      <c r="T21" s="1">
        <v>1.0529170488598232</v>
      </c>
      <c r="U21" s="1">
        <v>0.45302321420979541</v>
      </c>
      <c r="Z21" s="1">
        <v>2.8708093142277655</v>
      </c>
      <c r="AA21" s="1">
        <v>1.7805131957302129</v>
      </c>
      <c r="AB21" s="1">
        <v>1.356380651323261</v>
      </c>
      <c r="AC21" s="1">
        <v>0.59505880253232146</v>
      </c>
      <c r="AD21" s="1">
        <v>0.79623587597683532</v>
      </c>
      <c r="AE21" s="1">
        <v>1.1454223840304698</v>
      </c>
      <c r="AI21" s="1">
        <v>1.3235266950251787</v>
      </c>
      <c r="AJ21" s="1">
        <v>0.69871938885596374</v>
      </c>
      <c r="AP21" s="1">
        <v>0.603339763814427</v>
      </c>
      <c r="AQ21" s="1">
        <v>0.68792317634395683</v>
      </c>
      <c r="AV21" s="1">
        <v>0.20160862539146521</v>
      </c>
      <c r="AW21" s="1">
        <v>1.7407121990472785</v>
      </c>
      <c r="AX21" s="1">
        <v>0.4872170806932849</v>
      </c>
      <c r="AY21" s="1">
        <v>0.99632379481075495</v>
      </c>
      <c r="BB21" s="1">
        <v>0.82550503970925515</v>
      </c>
      <c r="BP21" s="1">
        <v>1.9573729200734729</v>
      </c>
      <c r="BQ21" s="1">
        <v>1.3862729464570998</v>
      </c>
      <c r="CD21" s="1">
        <v>0.423674810825376</v>
      </c>
      <c r="CF21" s="1">
        <v>0.41289874022157114</v>
      </c>
    </row>
    <row r="22" spans="1:89" x14ac:dyDescent="0.2">
      <c r="F22" s="1">
        <v>3</v>
      </c>
      <c r="G22" s="1">
        <v>7</v>
      </c>
      <c r="I22" s="1">
        <v>18</v>
      </c>
      <c r="J22" s="1">
        <v>21</v>
      </c>
      <c r="M22" s="1">
        <v>10</v>
      </c>
      <c r="N22" s="1">
        <v>10</v>
      </c>
      <c r="Q22" s="1">
        <v>14</v>
      </c>
      <c r="S22" s="1">
        <v>7</v>
      </c>
      <c r="T22" s="1">
        <v>15</v>
      </c>
      <c r="U22" s="1">
        <v>7</v>
      </c>
      <c r="Z22" s="1">
        <v>17</v>
      </c>
      <c r="AA22" s="1">
        <v>14</v>
      </c>
      <c r="AB22" s="1">
        <v>15</v>
      </c>
      <c r="AC22" s="1">
        <v>8</v>
      </c>
      <c r="AD22" s="1">
        <v>7</v>
      </c>
      <c r="AE22" s="1">
        <v>18</v>
      </c>
      <c r="AI22" s="1">
        <v>8</v>
      </c>
      <c r="AJ22" s="1">
        <v>7</v>
      </c>
      <c r="AP22" s="1">
        <v>7</v>
      </c>
      <c r="AQ22" s="1">
        <v>7</v>
      </c>
      <c r="AV22" s="1">
        <v>3</v>
      </c>
      <c r="AW22" s="1">
        <v>18</v>
      </c>
      <c r="AX22" s="1">
        <v>7</v>
      </c>
      <c r="AY22" s="1">
        <v>14</v>
      </c>
      <c r="BB22" s="1">
        <v>10</v>
      </c>
      <c r="BP22" s="1">
        <v>18</v>
      </c>
      <c r="BQ22" s="1">
        <v>14</v>
      </c>
      <c r="CD22" s="1">
        <v>7</v>
      </c>
      <c r="CF22" s="1">
        <v>7</v>
      </c>
    </row>
  </sheetData>
  <mergeCells count="3">
    <mergeCell ref="A3:A7"/>
    <mergeCell ref="A9:A12"/>
    <mergeCell ref="A14:A17"/>
  </mergeCells>
  <phoneticPr fontId="1" type="noConversion"/>
  <conditionalFormatting sqref="A21:XFD21">
    <cfRule type="expression" dxfId="2" priority="1">
      <formula>F21&gt;LARGE($F21:$CK21,1)</formula>
    </cfRule>
    <cfRule type="expression" dxfId="1" priority="3">
      <formula>A5=MAX($A21:$CK21)</formula>
    </cfRule>
    <cfRule type="expression" dxfId="0" priority="4">
      <formula>A2=MAX($A21:$CK21)</formula>
    </cfRule>
    <cfRule type="expression" priority="5">
      <formula>MAX($A21:$CK21)</formula>
    </cfRule>
    <cfRule type="expression" priority="6">
      <formula>A2=MAX($A21:$CK21)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0C9F-0F56-4C5B-AE82-0309E966F51D}">
  <sheetPr codeName="Sheet2"/>
  <dimension ref="A1:CK34"/>
  <sheetViews>
    <sheetView zoomScale="115" zoomScaleNormal="115" workbookViewId="0">
      <selection activeCell="C1" sqref="C1:I1048576"/>
    </sheetView>
  </sheetViews>
  <sheetFormatPr defaultRowHeight="15" x14ac:dyDescent="0.2"/>
  <cols>
    <col min="1" max="16384" width="9" style="1"/>
  </cols>
  <sheetData>
    <row r="1" spans="1:89" x14ac:dyDescent="0.2"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109</v>
      </c>
      <c r="J1" s="4" t="s">
        <v>110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111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4" t="s">
        <v>74</v>
      </c>
      <c r="BD1" s="4" t="s">
        <v>75</v>
      </c>
      <c r="BE1" s="4" t="s">
        <v>76</v>
      </c>
      <c r="BF1" s="4" t="s">
        <v>77</v>
      </c>
      <c r="BG1" s="4" t="s">
        <v>78</v>
      </c>
      <c r="BH1" s="4" t="s">
        <v>79</v>
      </c>
      <c r="BI1" s="4" t="s">
        <v>80</v>
      </c>
      <c r="BJ1" s="4" t="s">
        <v>81</v>
      </c>
      <c r="BK1" s="5" t="s">
        <v>82</v>
      </c>
      <c r="BL1" s="5" t="s">
        <v>83</v>
      </c>
      <c r="BM1" s="5" t="s">
        <v>84</v>
      </c>
      <c r="BN1" s="5" t="s">
        <v>85</v>
      </c>
      <c r="BO1" s="5" t="s">
        <v>86</v>
      </c>
      <c r="BP1" s="4" t="s">
        <v>87</v>
      </c>
      <c r="BQ1" s="4" t="s">
        <v>88</v>
      </c>
      <c r="BR1" s="5" t="s">
        <v>89</v>
      </c>
      <c r="BS1" s="5" t="s">
        <v>90</v>
      </c>
      <c r="BT1" s="5" t="s">
        <v>91</v>
      </c>
      <c r="BU1" s="5" t="s">
        <v>92</v>
      </c>
      <c r="BV1" s="5" t="s">
        <v>93</v>
      </c>
      <c r="BW1" s="5" t="s">
        <v>94</v>
      </c>
      <c r="BX1" s="5" t="s">
        <v>95</v>
      </c>
      <c r="BY1" s="5" t="s">
        <v>96</v>
      </c>
      <c r="BZ1" s="5" t="s">
        <v>97</v>
      </c>
      <c r="CA1" s="5" t="s">
        <v>98</v>
      </c>
      <c r="CB1" s="5" t="s">
        <v>99</v>
      </c>
      <c r="CC1" s="5" t="s">
        <v>100</v>
      </c>
      <c r="CD1" s="5" t="s">
        <v>101</v>
      </c>
      <c r="CE1" s="5" t="s">
        <v>102</v>
      </c>
      <c r="CF1" s="5" t="s">
        <v>103</v>
      </c>
      <c r="CG1" s="5" t="s">
        <v>104</v>
      </c>
      <c r="CH1" s="5" t="s">
        <v>105</v>
      </c>
      <c r="CI1" s="5" t="s">
        <v>106</v>
      </c>
      <c r="CJ1" s="5" t="s">
        <v>107</v>
      </c>
      <c r="CK1" s="5" t="s">
        <v>108</v>
      </c>
    </row>
    <row r="2" spans="1:89" x14ac:dyDescent="0.2"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>
        <v>81</v>
      </c>
      <c r="CG2" s="1">
        <v>82</v>
      </c>
      <c r="CH2" s="1">
        <v>83</v>
      </c>
      <c r="CI2" s="1">
        <v>84</v>
      </c>
      <c r="CJ2" s="1">
        <v>85</v>
      </c>
      <c r="CK2" s="1">
        <v>86</v>
      </c>
    </row>
    <row r="3" spans="1:89" x14ac:dyDescent="0.2">
      <c r="A3" s="10" t="s">
        <v>6</v>
      </c>
      <c r="B3" s="1" t="s">
        <v>0</v>
      </c>
      <c r="C3" s="1">
        <v>-1.69988524725979E-2</v>
      </c>
      <c r="D3" s="1">
        <v>-7.4209535498211118E-2</v>
      </c>
      <c r="E3" s="1">
        <v>-4.9147850478421962E-2</v>
      </c>
      <c r="F3" s="1">
        <v>-9.860891305896391E-2</v>
      </c>
      <c r="G3" s="2">
        <v>-0.13718651476136121</v>
      </c>
      <c r="H3" s="1">
        <v>-0.11303055502647689</v>
      </c>
      <c r="I3" s="1">
        <v>-7.4869801121085003E-2</v>
      </c>
      <c r="J3" s="1">
        <v>-9.4225567268775443E-2</v>
      </c>
      <c r="K3" s="1">
        <v>-6.838515716645846E-2</v>
      </c>
      <c r="L3" s="1">
        <v>6.0660294814917942E-2</v>
      </c>
      <c r="M3" s="1">
        <v>-9.8120217909119289E-2</v>
      </c>
      <c r="N3" s="1">
        <v>-4.6270101982640532E-2</v>
      </c>
      <c r="O3" s="1">
        <v>-9.6076581963569427E-2</v>
      </c>
      <c r="P3" s="1">
        <v>6.4445738044227763E-2</v>
      </c>
      <c r="Q3" s="2">
        <v>-0.28064427619930787</v>
      </c>
      <c r="R3" s="1">
        <v>-1.2156595526013539E-2</v>
      </c>
      <c r="S3" s="1">
        <v>-8.0210757276200931E-2</v>
      </c>
      <c r="T3" s="1">
        <v>6.2171988559986457E-2</v>
      </c>
      <c r="U3" s="2">
        <v>-0.3389305850754335</v>
      </c>
      <c r="V3" s="1">
        <v>5.6677653793904881E-2</v>
      </c>
      <c r="W3" s="1">
        <v>-7.62258202144111E-2</v>
      </c>
      <c r="X3" s="1">
        <v>0.1044349211092039</v>
      </c>
      <c r="Y3" s="1">
        <v>-7.2740737012464791E-3</v>
      </c>
      <c r="Z3" s="2">
        <v>0.59502388092022218</v>
      </c>
      <c r="AA3" s="2">
        <v>0.39902933481457808</v>
      </c>
      <c r="AB3" s="1">
        <v>-3.54939942768542E-2</v>
      </c>
      <c r="AC3" s="1">
        <v>-6.3596253600977704E-2</v>
      </c>
      <c r="AD3" s="1">
        <v>4.6667005178908767E-2</v>
      </c>
      <c r="AE3" s="2">
        <v>-0.123684463889895</v>
      </c>
      <c r="AF3" s="1">
        <v>-5.5255933877580272E-2</v>
      </c>
      <c r="AG3" s="1">
        <v>-6.4657390458610298E-2</v>
      </c>
      <c r="AH3" s="1">
        <v>-1.5564069313659071E-2</v>
      </c>
      <c r="AI3" s="2">
        <v>0.1318850973382231</v>
      </c>
      <c r="AJ3" s="1">
        <v>9.0543210104566438E-2</v>
      </c>
      <c r="AK3" s="1">
        <v>4.055638963983605E-3</v>
      </c>
      <c r="AL3" s="1">
        <v>-1.9945660312256409E-2</v>
      </c>
      <c r="AM3" s="1">
        <v>-4.1814459098895394E-3</v>
      </c>
      <c r="AN3" s="1">
        <v>6.4841174542410923E-2</v>
      </c>
      <c r="AO3" s="1">
        <v>1.5836488266408062E-2</v>
      </c>
      <c r="AP3" s="1">
        <v>3.9482294969897233E-2</v>
      </c>
      <c r="AQ3" s="1">
        <v>6.6033678446867042E-2</v>
      </c>
      <c r="AR3" s="1">
        <v>-1.298824396918998E-2</v>
      </c>
      <c r="AS3" s="1">
        <v>3.9779563449980643E-3</v>
      </c>
      <c r="AT3" s="1">
        <v>-8.094018119262536E-2</v>
      </c>
      <c r="AU3" s="1">
        <v>3.4458765516967631E-2</v>
      </c>
      <c r="AV3" s="2">
        <v>0.1212217947373285</v>
      </c>
      <c r="AW3" s="1">
        <v>5.4018451992955137E-2</v>
      </c>
      <c r="AX3" s="1">
        <v>5.4640813875232473E-2</v>
      </c>
      <c r="AY3" s="1">
        <v>-1.6267619385949221E-2</v>
      </c>
      <c r="AZ3" s="1">
        <v>7.3204597349344633E-2</v>
      </c>
      <c r="BA3" s="1">
        <v>1.419875890276223E-2</v>
      </c>
      <c r="BB3" s="1">
        <v>-2.9721701167572799E-2</v>
      </c>
      <c r="BC3" s="1">
        <v>8.5626502854676233E-3</v>
      </c>
      <c r="BD3" s="1">
        <v>-7.5290678319575857E-3</v>
      </c>
      <c r="BE3" s="1">
        <v>-5.7135329058226906E-3</v>
      </c>
      <c r="BF3" s="1">
        <v>1.150110932453303E-2</v>
      </c>
      <c r="BG3" s="1">
        <v>-1.0597929897877501E-2</v>
      </c>
      <c r="BH3" s="1">
        <v>-7.0621551406413008E-4</v>
      </c>
      <c r="BI3" s="1">
        <v>-1.1526102082560019E-2</v>
      </c>
      <c r="BJ3" s="1">
        <v>7.4710874089284566E-3</v>
      </c>
      <c r="BK3" s="1">
        <v>0.1040523022497807</v>
      </c>
      <c r="BL3" s="2">
        <v>0.14036668323427451</v>
      </c>
      <c r="BM3" s="2">
        <v>-0.13312307799748921</v>
      </c>
      <c r="BN3" s="1">
        <v>-4.1636027347803868E-2</v>
      </c>
      <c r="BO3" s="1">
        <v>3.9373299362301772E-2</v>
      </c>
      <c r="BP3" s="1">
        <v>-7.038521680529243E-2</v>
      </c>
      <c r="BQ3" s="1">
        <v>-1.1615152100915941E-2</v>
      </c>
      <c r="BR3" s="1">
        <v>2.6136121499354789E-3</v>
      </c>
      <c r="BS3" s="1">
        <v>-1.222852110323164E-5</v>
      </c>
      <c r="BT3" s="1">
        <v>-1.809682438091233E-2</v>
      </c>
      <c r="BU3" s="1">
        <v>1.185275684518915E-2</v>
      </c>
      <c r="BV3" s="1">
        <v>-1.9604525699904559E-2</v>
      </c>
      <c r="BW3" s="1">
        <v>6.4392204137078699E-3</v>
      </c>
      <c r="BX3" s="1">
        <v>-1.5661376511210939E-2</v>
      </c>
      <c r="BY3" s="1">
        <v>2.4604235442746481E-3</v>
      </c>
      <c r="BZ3" s="1">
        <v>-6.3037591608878178E-3</v>
      </c>
      <c r="CA3" s="1">
        <v>-3.8974482106493799E-3</v>
      </c>
      <c r="CB3" s="1">
        <v>-3.3315606290073921E-3</v>
      </c>
      <c r="CC3" s="1">
        <v>-1.1973960016240239E-3</v>
      </c>
      <c r="CD3" s="1">
        <v>-4.0074903730238497E-2</v>
      </c>
      <c r="CE3" s="1">
        <v>2.4349233907309632E-2</v>
      </c>
      <c r="CF3" s="1">
        <v>-3.2803412752093933E-2</v>
      </c>
      <c r="CG3" s="1">
        <v>2.17737373305961E-2</v>
      </c>
      <c r="CH3" s="1">
        <v>-2.0945911138910971E-2</v>
      </c>
      <c r="CI3" s="1">
        <v>1.306371987471523E-2</v>
      </c>
      <c r="CJ3" s="1">
        <v>-2.0714108584875809E-2</v>
      </c>
      <c r="CK3" s="1">
        <v>4.7176108242049358E-3</v>
      </c>
    </row>
    <row r="4" spans="1:89" x14ac:dyDescent="0.2">
      <c r="A4" s="10"/>
      <c r="B4" s="1" t="s">
        <v>1</v>
      </c>
      <c r="C4" s="1">
        <v>-1.571129242919464E-2</v>
      </c>
      <c r="D4" s="1">
        <v>4.743784352436145E-2</v>
      </c>
      <c r="E4" s="1">
        <v>3.4175615757180033E-2</v>
      </c>
      <c r="F4" s="1">
        <v>-4.0590473786664631E-2</v>
      </c>
      <c r="G4" s="1">
        <v>-4.3622595575974199E-2</v>
      </c>
      <c r="H4" s="2">
        <v>-0.32206494201865687</v>
      </c>
      <c r="I4" s="2">
        <v>0.4242255796052965</v>
      </c>
      <c r="J4" s="2">
        <v>0.3861238090276809</v>
      </c>
      <c r="K4" s="1">
        <v>2.4439458934589829E-3</v>
      </c>
      <c r="L4" s="1">
        <v>-1.841395585522378E-2</v>
      </c>
      <c r="M4" s="1">
        <v>-5.0651870362480457E-2</v>
      </c>
      <c r="N4" s="1">
        <v>-0.11240922565979029</v>
      </c>
      <c r="O4" s="1">
        <v>2.9415341979925892E-2</v>
      </c>
      <c r="P4" s="1">
        <v>-9.1006774156166703E-2</v>
      </c>
      <c r="Q4" s="1">
        <v>1.4471537907185399E-2</v>
      </c>
      <c r="R4" s="1">
        <v>-9.7042032717318247E-2</v>
      </c>
      <c r="S4" s="2">
        <v>-0.17648896193419319</v>
      </c>
      <c r="T4" s="1">
        <v>6.9266158868215563E-2</v>
      </c>
      <c r="U4" s="1">
        <v>-1.4310571069725289E-2</v>
      </c>
      <c r="V4" s="1">
        <v>-7.1739149070764355E-2</v>
      </c>
      <c r="W4" s="1">
        <v>-0.1110992176812278</v>
      </c>
      <c r="X4" s="1">
        <v>1.8162976407896481E-2</v>
      </c>
      <c r="Y4" s="1">
        <v>-9.9713050509332071E-3</v>
      </c>
      <c r="Z4" s="1">
        <v>3.9668326709589093E-2</v>
      </c>
      <c r="AA4" s="1">
        <v>-1.9741330891290869E-2</v>
      </c>
      <c r="AB4" s="2">
        <v>0.30482831826448048</v>
      </c>
      <c r="AC4" s="2">
        <v>0.16939521280357461</v>
      </c>
      <c r="AD4" s="2">
        <v>0.22456549287443611</v>
      </c>
      <c r="AE4" s="2">
        <v>0.19241781318277301</v>
      </c>
      <c r="AF4" s="2">
        <v>0.17095210896375621</v>
      </c>
      <c r="AG4" s="1">
        <v>0.1514068546604504</v>
      </c>
      <c r="AH4" s="1">
        <v>3.3039088138910981E-2</v>
      </c>
      <c r="AI4" s="1">
        <v>-6.7292310156835927E-2</v>
      </c>
      <c r="AJ4" s="1">
        <v>-0.10767270800185259</v>
      </c>
      <c r="AK4" s="1">
        <v>-3.2693331338925248E-3</v>
      </c>
      <c r="AL4" s="1">
        <v>-1.5869380182672761E-4</v>
      </c>
      <c r="AM4" s="1">
        <v>4.3728807156365401E-2</v>
      </c>
      <c r="AN4" s="1">
        <v>-3.4562652179688418E-3</v>
      </c>
      <c r="AO4" s="1">
        <v>-4.3901547714696301E-2</v>
      </c>
      <c r="AP4" s="1">
        <v>0.107561790428939</v>
      </c>
      <c r="AQ4" s="1">
        <v>6.2916528360301913E-2</v>
      </c>
      <c r="AR4" s="1">
        <v>1.035457035058833E-2</v>
      </c>
      <c r="AS4" s="1">
        <v>4.4448025451977009E-4</v>
      </c>
      <c r="AT4" s="1">
        <v>-3.6314630331145181E-2</v>
      </c>
      <c r="AU4" s="1">
        <v>-0.1313079638145806</v>
      </c>
      <c r="AV4" s="1">
        <v>-2.8850968917110569E-2</v>
      </c>
      <c r="AW4" s="1">
        <v>6.8598284006467794E-2</v>
      </c>
      <c r="AX4" s="1">
        <v>0.11491532201066799</v>
      </c>
      <c r="AY4" s="1">
        <v>0.13975260583593399</v>
      </c>
      <c r="AZ4" s="1">
        <v>6.113078424333615E-2</v>
      </c>
      <c r="BA4" s="2">
        <v>0.22373838676347171</v>
      </c>
      <c r="BB4" s="1">
        <v>0.14578688655002209</v>
      </c>
      <c r="BC4" s="1">
        <v>3.8645795149811848E-3</v>
      </c>
      <c r="BD4" s="1">
        <v>1.9575351028750351E-2</v>
      </c>
      <c r="BE4" s="1">
        <v>-2.0755955855275461E-2</v>
      </c>
      <c r="BF4" s="1">
        <v>2.501636003599312E-3</v>
      </c>
      <c r="BG4" s="1">
        <v>-1.9137761535241399E-2</v>
      </c>
      <c r="BH4" s="1">
        <v>-8.3538126646470149E-3</v>
      </c>
      <c r="BI4" s="1">
        <v>-1.271464350757787E-2</v>
      </c>
      <c r="BJ4" s="1">
        <v>-6.7111834853459873E-3</v>
      </c>
      <c r="BK4" s="1">
        <v>5.1812026509558698E-2</v>
      </c>
      <c r="BL4" s="1">
        <v>8.1127726563970728E-2</v>
      </c>
      <c r="BM4" s="1">
        <v>-9.7126972629824504E-2</v>
      </c>
      <c r="BN4" s="1">
        <v>-3.0926004971314841E-2</v>
      </c>
      <c r="BO4" s="1">
        <v>1.383078920995252E-2</v>
      </c>
      <c r="BP4" s="1">
        <v>-8.4445869050826669E-2</v>
      </c>
      <c r="BQ4" s="1">
        <v>-3.7860664951097363E-2</v>
      </c>
      <c r="BR4" s="1">
        <v>-1.030011094899416E-3</v>
      </c>
      <c r="BS4" s="1">
        <v>1.047525166295853E-2</v>
      </c>
      <c r="BT4" s="1">
        <v>-1.349231854371149E-2</v>
      </c>
      <c r="BU4" s="1">
        <v>1.9269597852991781E-2</v>
      </c>
      <c r="BV4" s="1">
        <v>-9.6571789611739813E-3</v>
      </c>
      <c r="BW4" s="1">
        <v>1.106506270345621E-2</v>
      </c>
      <c r="BX4" s="1">
        <v>-2.959275675102516E-2</v>
      </c>
      <c r="BY4" s="1">
        <v>1.8248864622766141E-2</v>
      </c>
      <c r="BZ4" s="1">
        <v>-3.1122889140427872E-2</v>
      </c>
      <c r="CA4" s="1">
        <v>2.17460544320064E-2</v>
      </c>
      <c r="CB4" s="1">
        <v>-3.4860465724903963E-2</v>
      </c>
      <c r="CC4" s="1">
        <v>2.9539191639405101E-2</v>
      </c>
      <c r="CD4" s="1">
        <v>-2.8230276213655332E-2</v>
      </c>
      <c r="CE4" s="1">
        <v>1.9616258274753759E-2</v>
      </c>
      <c r="CF4" s="1">
        <v>-3.599044250985238E-2</v>
      </c>
      <c r="CG4" s="1">
        <v>2.6275443734700581E-2</v>
      </c>
      <c r="CH4" s="1">
        <v>-2.6024537019352371E-2</v>
      </c>
      <c r="CI4" s="1">
        <v>1.314926566559056E-2</v>
      </c>
      <c r="CJ4" s="1">
        <v>-1.7259927684750102E-2</v>
      </c>
      <c r="CK4" s="1">
        <v>2.9784906386434492E-3</v>
      </c>
    </row>
    <row r="5" spans="1:89" x14ac:dyDescent="0.2">
      <c r="A5" s="10"/>
      <c r="B5" s="1" t="s">
        <v>2</v>
      </c>
      <c r="C5" s="1">
        <v>0.1058318494615529</v>
      </c>
      <c r="D5" s="1">
        <v>-0.1215166000792853</v>
      </c>
      <c r="E5" s="1">
        <v>-8.0252259170952522E-2</v>
      </c>
      <c r="F5" s="1">
        <v>1.917468685603357E-2</v>
      </c>
      <c r="G5" s="2">
        <v>0.144979089953573</v>
      </c>
      <c r="H5" s="1">
        <v>2.583611344516127E-2</v>
      </c>
      <c r="I5" s="1">
        <v>7.8070758354797543E-2</v>
      </c>
      <c r="J5" s="1">
        <v>6.9722729009513817E-2</v>
      </c>
      <c r="K5" s="1">
        <v>-1.244840507122724E-2</v>
      </c>
      <c r="L5" s="1">
        <v>1.768621399540939E-2</v>
      </c>
      <c r="M5" s="2">
        <v>0.43549952317442231</v>
      </c>
      <c r="N5" s="1">
        <v>0.1148626962198311</v>
      </c>
      <c r="O5" s="1">
        <v>-0.12361381709955351</v>
      </c>
      <c r="P5" s="1">
        <v>0.1019967921471838</v>
      </c>
      <c r="Q5" s="1">
        <v>7.9595397068825235E-2</v>
      </c>
      <c r="R5" s="1">
        <v>3.7651056080705812E-2</v>
      </c>
      <c r="S5" s="1">
        <v>0.1233850870299919</v>
      </c>
      <c r="T5" s="1">
        <v>-7.0253621149164586E-2</v>
      </c>
      <c r="U5" s="1">
        <v>-2.9511230420005159E-2</v>
      </c>
      <c r="V5" s="1">
        <v>-1.433499252587148E-2</v>
      </c>
      <c r="W5" s="1">
        <v>3.4097503899841793E-2</v>
      </c>
      <c r="X5" s="1">
        <v>-7.9350569344144528E-2</v>
      </c>
      <c r="Y5" s="1">
        <v>3.8074216839857573E-2</v>
      </c>
      <c r="Z5" s="1">
        <v>2.3671637213566941E-2</v>
      </c>
      <c r="AA5" s="1">
        <v>-8.1341749418906054E-2</v>
      </c>
      <c r="AB5" s="1">
        <v>3.5536341046026557E-2</v>
      </c>
      <c r="AC5" s="1">
        <v>9.009659249905852E-2</v>
      </c>
      <c r="AD5" s="1">
        <v>-1.8153945986749489E-2</v>
      </c>
      <c r="AE5" s="1">
        <v>-6.0847413821434437E-2</v>
      </c>
      <c r="AF5" s="1">
        <v>1.1738844035192351E-2</v>
      </c>
      <c r="AG5" s="1">
        <v>-3.2215413345696498E-2</v>
      </c>
      <c r="AH5" s="1">
        <v>-9.9109432745933829E-3</v>
      </c>
      <c r="AI5" s="2">
        <v>0.4161083639442375</v>
      </c>
      <c r="AJ5" s="2">
        <v>0.16468242007295111</v>
      </c>
      <c r="AK5" s="1">
        <v>-1.616181747067965E-2</v>
      </c>
      <c r="AL5" s="1">
        <v>1.9655502270009669E-2</v>
      </c>
      <c r="AM5" s="1">
        <v>-2.7628138088655749E-2</v>
      </c>
      <c r="AN5" s="1">
        <v>4.1836499556929703E-2</v>
      </c>
      <c r="AO5" s="1">
        <v>3.4891134007806343E-2</v>
      </c>
      <c r="AP5" s="1">
        <v>-9.4842964599041651E-2</v>
      </c>
      <c r="AQ5" s="1">
        <v>-8.3613864850399094E-2</v>
      </c>
      <c r="AR5" s="1">
        <v>-4.4666544972729531E-2</v>
      </c>
      <c r="AS5" s="1">
        <v>-3.3845402768180391E-3</v>
      </c>
      <c r="AT5" s="1">
        <v>7.8224372358184857E-2</v>
      </c>
      <c r="AU5" s="1">
        <v>0.136688937187771</v>
      </c>
      <c r="AV5" s="1">
        <v>-2.0702458871922048E-2</v>
      </c>
      <c r="AW5" s="1">
        <v>0.11651773700743361</v>
      </c>
      <c r="AX5" s="2">
        <v>0.20038099704792209</v>
      </c>
      <c r="AY5" s="2">
        <v>-0.1927291876105682</v>
      </c>
      <c r="AZ5" s="1">
        <v>-7.1365834139444001E-2</v>
      </c>
      <c r="BA5" s="2">
        <v>0.16436893051495491</v>
      </c>
      <c r="BB5" s="2">
        <v>0.23354079581042819</v>
      </c>
      <c r="BC5" s="2">
        <v>0.16014220415015501</v>
      </c>
      <c r="BD5" s="1">
        <v>5.3290384330185007E-2</v>
      </c>
      <c r="BE5" s="1">
        <v>4.6653158431787918E-2</v>
      </c>
      <c r="BF5" s="1">
        <v>3.9971536526326339E-2</v>
      </c>
      <c r="BG5" s="1">
        <v>-2.5670285655227099E-2</v>
      </c>
      <c r="BH5" s="1">
        <v>-2.2224590210956241E-2</v>
      </c>
      <c r="BI5" s="1">
        <v>-2.77073287081828E-2</v>
      </c>
      <c r="BJ5" s="1">
        <v>7.0446087424840403E-2</v>
      </c>
      <c r="BK5" s="1">
        <v>6.2444362265405683E-3</v>
      </c>
      <c r="BL5" s="1">
        <v>5.3889907817733979E-2</v>
      </c>
      <c r="BM5" s="1">
        <v>3.0231020839787268E-2</v>
      </c>
      <c r="BN5" s="1">
        <v>1.386444453970803E-2</v>
      </c>
      <c r="BO5" s="1">
        <v>-4.7648081153614942E-2</v>
      </c>
      <c r="BP5" s="1">
        <v>-0.1370483750415844</v>
      </c>
      <c r="BQ5" s="1">
        <v>-4.8423947340452377E-2</v>
      </c>
      <c r="BR5" s="1">
        <v>-8.015139086228372E-2</v>
      </c>
      <c r="BS5" s="1">
        <v>5.7927305381687652E-2</v>
      </c>
      <c r="BT5" s="1">
        <v>-0.10986854911339219</v>
      </c>
      <c r="BU5" s="1">
        <v>6.8604369291935585E-2</v>
      </c>
      <c r="BV5" s="1">
        <v>-7.7746404015825374E-2</v>
      </c>
      <c r="BW5" s="1">
        <v>3.8922304828306428E-2</v>
      </c>
      <c r="BX5" s="1">
        <v>-0.1131417834800524</v>
      </c>
      <c r="BY5" s="1">
        <v>3.7953242652641828E-2</v>
      </c>
      <c r="BZ5" s="1">
        <v>-9.8030978571428742E-2</v>
      </c>
      <c r="CA5" s="1">
        <v>5.6642474845658278E-2</v>
      </c>
      <c r="CB5" s="1">
        <v>-0.12802477081311631</v>
      </c>
      <c r="CC5" s="1">
        <v>6.7912741120221318E-2</v>
      </c>
      <c r="CD5" s="2">
        <v>-0.15009336490162481</v>
      </c>
      <c r="CE5" s="1">
        <v>7.7173882058684612E-2</v>
      </c>
      <c r="CF5" s="1">
        <v>-0.108973512630888</v>
      </c>
      <c r="CG5" s="1">
        <v>5.5041169519193932E-2</v>
      </c>
      <c r="CH5" s="1">
        <v>-0.1104325333729871</v>
      </c>
      <c r="CI5" s="1">
        <v>5.0840561137230782E-2</v>
      </c>
      <c r="CJ5" s="1">
        <v>-0.1122549835234823</v>
      </c>
      <c r="CK5" s="1">
        <v>2.972861715012667E-2</v>
      </c>
    </row>
    <row r="6" spans="1:89" x14ac:dyDescent="0.2">
      <c r="A6" s="10"/>
      <c r="B6" s="1" t="s">
        <v>3</v>
      </c>
      <c r="C6" s="1">
        <v>-0.1399199563294119</v>
      </c>
      <c r="D6" s="1">
        <v>5.7792305503679087E-2</v>
      </c>
      <c r="E6" s="1">
        <v>2.6998743561257001E-2</v>
      </c>
      <c r="F6" s="2">
        <v>0.2359294521617453</v>
      </c>
      <c r="G6" s="2">
        <v>-0.19879919383805369</v>
      </c>
      <c r="H6" s="1">
        <v>-6.2801378920212092E-2</v>
      </c>
      <c r="I6" s="1">
        <v>4.8363336072187291E-2</v>
      </c>
      <c r="J6" s="1">
        <v>5.0283219629484947E-2</v>
      </c>
      <c r="K6" s="1">
        <v>9.4012929367074394E-3</v>
      </c>
      <c r="L6" s="1">
        <v>-7.5367943801163961E-3</v>
      </c>
      <c r="M6" s="2">
        <v>0.40885394227502853</v>
      </c>
      <c r="N6" s="2">
        <v>0.3001807482110081</v>
      </c>
      <c r="O6" s="1">
        <v>-6.314227811428734E-2</v>
      </c>
      <c r="P6" s="1">
        <v>4.212609627927788E-2</v>
      </c>
      <c r="Q6" s="1">
        <v>-5.902456065759152E-2</v>
      </c>
      <c r="R6" s="1">
        <v>6.4863448711932484E-3</v>
      </c>
      <c r="S6" s="2">
        <v>-0.1786290769069889</v>
      </c>
      <c r="T6" s="1">
        <v>0.14444489843214139</v>
      </c>
      <c r="U6" s="1">
        <v>7.0741410721755701E-2</v>
      </c>
      <c r="V6" s="1">
        <v>-2.556802016401908E-2</v>
      </c>
      <c r="W6" s="1">
        <v>-8.0921478620654672E-2</v>
      </c>
      <c r="X6" s="1">
        <v>0.1115850034714365</v>
      </c>
      <c r="Y6" s="1">
        <v>-1.200450788018512E-2</v>
      </c>
      <c r="Z6" s="2">
        <v>-0.17284962576429941</v>
      </c>
      <c r="AA6" s="1">
        <v>3.3836527850747637E-2</v>
      </c>
      <c r="AB6" s="1">
        <v>2.8495184390629341E-2</v>
      </c>
      <c r="AC6" s="1">
        <v>-7.8846550983208391E-2</v>
      </c>
      <c r="AD6" s="1">
        <v>9.823122286048902E-2</v>
      </c>
      <c r="AE6" s="1">
        <v>5.7294249086114218E-2</v>
      </c>
      <c r="AF6" s="1">
        <v>-2.9598619005733771E-2</v>
      </c>
      <c r="AG6" s="1">
        <v>5.6254233231238363E-2</v>
      </c>
      <c r="AH6" s="1">
        <v>-4.2956923744217447E-3</v>
      </c>
      <c r="AI6" s="2">
        <v>0.26292593085340582</v>
      </c>
      <c r="AJ6" s="2">
        <v>0.21167432495797731</v>
      </c>
      <c r="AK6" s="1">
        <v>1.60528899299099E-2</v>
      </c>
      <c r="AL6" s="1">
        <v>2.9488995960850429E-3</v>
      </c>
      <c r="AM6" s="1">
        <v>2.1912349739035011E-2</v>
      </c>
      <c r="AN6" s="1">
        <v>1.986178971260151E-2</v>
      </c>
      <c r="AO6" s="1">
        <v>-1.8103136649245781E-2</v>
      </c>
      <c r="AP6" s="1">
        <v>0.12450885880379869</v>
      </c>
      <c r="AQ6" s="1">
        <v>0.12177919031690899</v>
      </c>
      <c r="AR6" s="1">
        <v>3.2364144165175697E-2</v>
      </c>
      <c r="AS6" s="1">
        <v>5.3555822063582337E-3</v>
      </c>
      <c r="AT6" s="1">
        <v>-0.12448464069338749</v>
      </c>
      <c r="AU6" s="1">
        <v>8.1753902717524432E-2</v>
      </c>
      <c r="AV6" s="2">
        <v>0.25785480809779149</v>
      </c>
      <c r="AW6" s="1">
        <v>-0.15946960869610549</v>
      </c>
      <c r="AX6" s="1">
        <v>2.74656107911386E-2</v>
      </c>
      <c r="AY6" s="1">
        <v>4.6078545034826481E-2</v>
      </c>
      <c r="AZ6" s="1">
        <v>5.4118358757926699E-2</v>
      </c>
      <c r="BA6" s="1">
        <v>-4.5853457232836792E-2</v>
      </c>
      <c r="BB6" s="1">
        <v>-6.5470140909088023E-2</v>
      </c>
      <c r="BC6" s="1">
        <v>-4.4050028296984851E-2</v>
      </c>
      <c r="BD6" s="1">
        <v>-3.9798021741306137E-2</v>
      </c>
      <c r="BE6" s="1">
        <v>-2.9551565329811472E-2</v>
      </c>
      <c r="BF6" s="1">
        <v>-5.5100005647470987E-2</v>
      </c>
      <c r="BG6" s="1">
        <v>1.8228950167357032E-2</v>
      </c>
      <c r="BH6" s="1">
        <v>9.0638118509603592E-3</v>
      </c>
      <c r="BI6" s="1">
        <v>5.7108969465671913E-2</v>
      </c>
      <c r="BJ6" s="1">
        <v>-7.4796222196131162E-2</v>
      </c>
      <c r="BK6" s="1">
        <v>6.0413310255623832E-2</v>
      </c>
      <c r="BL6" s="1">
        <v>0.1103028543148744</v>
      </c>
      <c r="BM6" s="1">
        <v>-6.3123337755867176E-2</v>
      </c>
      <c r="BN6" s="1">
        <v>-5.722324661524042E-2</v>
      </c>
      <c r="BO6" s="1">
        <v>-2.352557260706939E-3</v>
      </c>
      <c r="BP6" s="2">
        <v>0.18659094960740061</v>
      </c>
      <c r="BQ6" s="1">
        <v>5.827628975274305E-2</v>
      </c>
      <c r="BR6" s="1">
        <v>5.0576863464298627E-2</v>
      </c>
      <c r="BS6" s="1">
        <v>-4.9047713410503693E-2</v>
      </c>
      <c r="BT6" s="1">
        <v>5.817398086635589E-2</v>
      </c>
      <c r="BU6" s="1">
        <v>-5.8268531646446027E-2</v>
      </c>
      <c r="BV6" s="1">
        <v>7.9980251493474874E-2</v>
      </c>
      <c r="BW6" s="1">
        <v>-5.5424567084410972E-2</v>
      </c>
      <c r="BX6" s="1">
        <v>0.1017001617306659</v>
      </c>
      <c r="BY6" s="1">
        <v>-4.0807416240285589E-2</v>
      </c>
      <c r="BZ6" s="1">
        <v>9.006863156880629E-2</v>
      </c>
      <c r="CA6" s="1">
        <v>-6.8946287842520187E-2</v>
      </c>
      <c r="CB6" s="1">
        <v>0.118935351317556</v>
      </c>
      <c r="CC6" s="1">
        <v>-9.8623961095942847E-2</v>
      </c>
      <c r="CD6" s="1">
        <v>0.1198019558122473</v>
      </c>
      <c r="CE6" s="1">
        <v>-6.0641259122535027E-2</v>
      </c>
      <c r="CF6" s="1">
        <v>0.1010437705512417</v>
      </c>
      <c r="CG6" s="1">
        <v>-5.7287018857005267E-2</v>
      </c>
      <c r="CH6" s="1">
        <v>7.3328334560182687E-2</v>
      </c>
      <c r="CI6" s="1">
        <v>-6.342312463160818E-2</v>
      </c>
      <c r="CJ6" s="1">
        <v>9.9885558261920596E-2</v>
      </c>
      <c r="CK6" s="1">
        <v>-3.2818146213807013E-2</v>
      </c>
    </row>
    <row r="7" spans="1:89" x14ac:dyDescent="0.2">
      <c r="A7" s="10"/>
      <c r="B7" s="1" t="s">
        <v>4</v>
      </c>
      <c r="C7" s="2">
        <v>0.1498771980500416</v>
      </c>
      <c r="D7" s="1">
        <v>7.8516097950527275E-3</v>
      </c>
      <c r="E7" s="1">
        <v>4.41938564910066E-4</v>
      </c>
      <c r="F7" s="1">
        <v>-9.4471298167869852E-2</v>
      </c>
      <c r="G7" s="1">
        <v>6.9111754681766335E-2</v>
      </c>
      <c r="H7" s="1">
        <v>-8.225659686775634E-2</v>
      </c>
      <c r="I7" s="1">
        <v>4.4288623923702808E-3</v>
      </c>
      <c r="J7" s="1">
        <v>3.4536009987504719E-3</v>
      </c>
      <c r="K7" s="1">
        <v>-2.2264930650325091E-2</v>
      </c>
      <c r="L7" s="1">
        <v>5.4997619095554784E-3</v>
      </c>
      <c r="M7" s="1">
        <v>1.5995040528827751E-2</v>
      </c>
      <c r="N7" s="1">
        <v>-0.1109388438666551</v>
      </c>
      <c r="O7" s="1">
        <v>-2.5409800802573761E-2</v>
      </c>
      <c r="P7" s="1">
        <v>-4.726643958922367E-2</v>
      </c>
      <c r="Q7" s="1">
        <v>2.1964210001356212E-2</v>
      </c>
      <c r="R7" s="1">
        <v>-8.9458547119455611E-2</v>
      </c>
      <c r="S7" s="1">
        <v>5.6892770411919223E-2</v>
      </c>
      <c r="T7" s="1">
        <v>-0.11820852959952489</v>
      </c>
      <c r="U7" s="1">
        <v>-9.4619185187107407E-2</v>
      </c>
      <c r="V7" s="2">
        <v>-0.24981857681626379</v>
      </c>
      <c r="W7" s="1">
        <v>-8.4380687810403102E-2</v>
      </c>
      <c r="X7" s="2">
        <v>-0.14375867826257199</v>
      </c>
      <c r="Y7" s="1">
        <v>-1.680940089298007E-2</v>
      </c>
      <c r="Z7" s="2">
        <v>0.19134663330467039</v>
      </c>
      <c r="AA7" s="1">
        <v>5.5902470539726992E-3</v>
      </c>
      <c r="AB7" s="1">
        <v>-2.361947967762398E-2</v>
      </c>
      <c r="AC7" s="1">
        <v>0.10373559308367281</v>
      </c>
      <c r="AD7" s="1">
        <v>-9.4986431600126448E-3</v>
      </c>
      <c r="AE7" s="1">
        <v>-2.632895342411987E-2</v>
      </c>
      <c r="AF7" s="1">
        <v>5.9104511628565247E-2</v>
      </c>
      <c r="AG7" s="1">
        <v>-2.2895385474668451E-2</v>
      </c>
      <c r="AH7" s="1">
        <v>5.8651698723381621E-2</v>
      </c>
      <c r="AI7" s="1">
        <v>4.4036750604210258E-2</v>
      </c>
      <c r="AJ7" s="1">
        <v>-4.3085074251613599E-2</v>
      </c>
      <c r="AK7" s="1">
        <v>1.8244433125645349E-2</v>
      </c>
      <c r="AL7" s="2">
        <v>0.12706233565235039</v>
      </c>
      <c r="AM7" s="1">
        <v>2.873946345899429E-2</v>
      </c>
      <c r="AN7" s="1">
        <v>2.1721268367100349E-2</v>
      </c>
      <c r="AO7" s="1">
        <v>-2.452439480040406E-2</v>
      </c>
      <c r="AP7" s="1">
        <v>-3.3544716703786802E-2</v>
      </c>
      <c r="AQ7" s="2">
        <v>-0.13759700498894981</v>
      </c>
      <c r="AR7" s="1">
        <v>8.885436492599412E-2</v>
      </c>
      <c r="AS7" s="1">
        <v>3.0607439989816941E-3</v>
      </c>
      <c r="AT7" s="1">
        <v>5.4968121476444698E-2</v>
      </c>
      <c r="AU7" s="1">
        <v>-2.7081546478205171E-2</v>
      </c>
      <c r="AV7" s="1">
        <v>-7.8055443378692399E-2</v>
      </c>
      <c r="AW7" s="2">
        <v>-0.46890927266560928</v>
      </c>
      <c r="AX7" s="1">
        <v>0.115119052784768</v>
      </c>
      <c r="AY7" s="1">
        <v>-7.2561043497718705E-2</v>
      </c>
      <c r="AZ7" s="2">
        <v>-0.13939521893691689</v>
      </c>
      <c r="BA7" s="1">
        <v>8.9475926394457561E-2</v>
      </c>
      <c r="BB7" s="1">
        <v>0.10107680538797589</v>
      </c>
      <c r="BC7" s="1">
        <v>6.4677916619605785E-2</v>
      </c>
      <c r="BD7" s="1">
        <v>9.0897677014424444E-2</v>
      </c>
      <c r="BE7" s="1">
        <v>8.7514973320202569E-2</v>
      </c>
      <c r="BF7" s="1">
        <v>2.8512659584297769E-2</v>
      </c>
      <c r="BG7" s="1">
        <v>2.7587191370813561E-2</v>
      </c>
      <c r="BH7" s="1">
        <v>-1.404981189816196E-2</v>
      </c>
      <c r="BI7" s="1">
        <v>6.7752734441052523E-2</v>
      </c>
      <c r="BJ7" s="1">
        <v>8.7538078820852391E-2</v>
      </c>
      <c r="BK7" s="1">
        <v>7.9424150622575112E-3</v>
      </c>
      <c r="BL7" s="1">
        <v>3.1048932813182901E-2</v>
      </c>
      <c r="BM7" s="1">
        <v>5.7417897298402333E-2</v>
      </c>
      <c r="BN7" s="1">
        <v>3.6934367548572863E-2</v>
      </c>
      <c r="BO7" s="1">
        <v>2.409892705997526E-2</v>
      </c>
      <c r="BP7" s="2">
        <v>0.55563613006052315</v>
      </c>
      <c r="BQ7" s="2">
        <v>0.18182061539840511</v>
      </c>
      <c r="BR7" s="1">
        <v>-2.132971727561056E-2</v>
      </c>
      <c r="BS7" s="1">
        <v>2.651166550098542E-2</v>
      </c>
      <c r="BT7" s="1">
        <v>-2.6716134201370239E-2</v>
      </c>
      <c r="BU7" s="1">
        <v>4.1658526693397258E-2</v>
      </c>
      <c r="BV7" s="1">
        <v>3.5464163561578943E-2</v>
      </c>
      <c r="BW7" s="1">
        <v>-1.297377709109936E-2</v>
      </c>
      <c r="BX7" s="1">
        <v>4.2564139174108173E-2</v>
      </c>
      <c r="BY7" s="1">
        <v>-3.347512852892249E-3</v>
      </c>
      <c r="BZ7" s="1">
        <v>3.9238770837207337E-2</v>
      </c>
      <c r="CA7" s="1">
        <v>-5.863110808408515E-3</v>
      </c>
      <c r="CB7" s="1">
        <v>5.3635496904482473E-2</v>
      </c>
      <c r="CC7" s="1">
        <v>-5.2673314615184052E-3</v>
      </c>
      <c r="CD7" s="1">
        <v>7.7946726340630712E-2</v>
      </c>
      <c r="CE7" s="1">
        <v>-3.5259406081851428E-2</v>
      </c>
      <c r="CF7" s="1">
        <v>7.5147384731945474E-2</v>
      </c>
      <c r="CG7" s="1">
        <v>-3.3046096882920567E-2</v>
      </c>
      <c r="CH7" s="1">
        <v>8.7707637290668133E-2</v>
      </c>
      <c r="CI7" s="1">
        <v>-5.0464383625160522E-2</v>
      </c>
      <c r="CJ7" s="1">
        <v>7.434327919344734E-2</v>
      </c>
      <c r="CK7" s="1">
        <v>-1.7289069919399162E-2</v>
      </c>
    </row>
    <row r="8" spans="1:89" x14ac:dyDescent="0.2">
      <c r="A8" s="10"/>
      <c r="B8" s="1" t="s">
        <v>10</v>
      </c>
      <c r="C8" s="1">
        <v>4.0813967820543792E-2</v>
      </c>
      <c r="D8" s="1">
        <v>-9.4496665250492315E-2</v>
      </c>
      <c r="E8" s="1">
        <v>-5.7946853874047848E-2</v>
      </c>
      <c r="F8" s="1">
        <v>9.6454882782955303E-2</v>
      </c>
      <c r="G8" s="1">
        <v>8.5454505892525623E-2</v>
      </c>
      <c r="H8" s="1">
        <v>0.15459927138137161</v>
      </c>
      <c r="I8" s="2">
        <v>0.18478974297846229</v>
      </c>
      <c r="J8" s="1">
        <v>0.14215135552476441</v>
      </c>
      <c r="K8" s="1">
        <v>-3.1341067799632798E-2</v>
      </c>
      <c r="L8" s="1">
        <v>4.2071029609722019E-2</v>
      </c>
      <c r="M8" s="1">
        <v>-1.0051971727993769E-2</v>
      </c>
      <c r="N8" s="1">
        <v>6.7985844452260524E-2</v>
      </c>
      <c r="O8" s="1">
        <v>-1.973609222562378E-2</v>
      </c>
      <c r="P8" s="1">
        <v>0.10483561841571171</v>
      </c>
      <c r="Q8" s="1">
        <v>7.0695169266564342E-2</v>
      </c>
      <c r="R8" s="1">
        <v>8.0050304760350133E-2</v>
      </c>
      <c r="S8" s="1">
        <v>0.1030507550090024</v>
      </c>
      <c r="T8" s="1">
        <v>0.105571453859699</v>
      </c>
      <c r="U8" s="1">
        <v>-0.14637613644374731</v>
      </c>
      <c r="V8" s="2">
        <v>0.27670521506688089</v>
      </c>
      <c r="W8" s="2">
        <v>0.17799625941039079</v>
      </c>
      <c r="X8" s="1">
        <v>0.12590594364120031</v>
      </c>
      <c r="Y8" s="1">
        <v>0.1266770987926219</v>
      </c>
      <c r="Z8" s="2">
        <v>0.26214593140368603</v>
      </c>
      <c r="AA8" s="1">
        <v>-2.893682301083127E-2</v>
      </c>
      <c r="AB8" s="1">
        <v>7.8292899742426189E-2</v>
      </c>
      <c r="AC8" s="1">
        <v>-2.9437976627350211E-2</v>
      </c>
      <c r="AD8" s="1">
        <v>-9.8508672054869323E-3</v>
      </c>
      <c r="AE8" s="2">
        <v>0.26133485556413039</v>
      </c>
      <c r="AF8" s="1">
        <v>7.8669365625917725E-2</v>
      </c>
      <c r="AG8" s="1">
        <v>0.13362357444574441</v>
      </c>
      <c r="AH8" s="1">
        <v>-8.3493117619695176E-2</v>
      </c>
      <c r="AI8" s="1">
        <v>-1.939868739727095E-2</v>
      </c>
      <c r="AJ8" s="1">
        <v>8.0316309038629564E-3</v>
      </c>
      <c r="AK8" s="1">
        <v>-0.10687919265708019</v>
      </c>
      <c r="AL8" s="2">
        <v>-0.27436018773379939</v>
      </c>
      <c r="AM8" s="1">
        <v>-0.14600281673982651</v>
      </c>
      <c r="AN8" s="1">
        <v>1.2645453440620021E-2</v>
      </c>
      <c r="AO8" s="1">
        <v>0.1467790293013832</v>
      </c>
      <c r="AP8" s="1">
        <v>-0.14751737473758039</v>
      </c>
      <c r="AQ8" s="2">
        <v>0.21798632037479551</v>
      </c>
      <c r="AR8" s="2">
        <v>-0.25590833843404431</v>
      </c>
      <c r="AS8" s="1">
        <v>-5.2027382403961717E-4</v>
      </c>
      <c r="AT8" s="2">
        <v>0.19458306537399719</v>
      </c>
      <c r="AU8" s="1">
        <v>-3.9454347161106372E-2</v>
      </c>
      <c r="AV8" s="1">
        <v>-1.766225763405797E-2</v>
      </c>
      <c r="AW8" s="1">
        <v>-8.4125485038495471E-2</v>
      </c>
      <c r="AX8" s="1">
        <v>-8.3465122091687965E-2</v>
      </c>
      <c r="AY8" s="1">
        <v>-2.0920570999617551E-2</v>
      </c>
      <c r="AZ8" s="2">
        <v>-0.2469968441243397</v>
      </c>
      <c r="BA8" s="1">
        <v>-4.3310108821274881E-2</v>
      </c>
      <c r="BB8" s="1">
        <v>6.2785351655528523E-2</v>
      </c>
      <c r="BC8" s="1">
        <v>-3.8710834518544082E-2</v>
      </c>
      <c r="BD8" s="1">
        <v>-8.7595610779075458E-3</v>
      </c>
      <c r="BE8" s="1">
        <v>-1.8350081047782799E-2</v>
      </c>
      <c r="BF8" s="1">
        <v>-4.5044921883919412E-2</v>
      </c>
      <c r="BG8" s="1">
        <v>-1.4225545983484959E-2</v>
      </c>
      <c r="BH8" s="1">
        <v>-1.9710999231683521E-3</v>
      </c>
      <c r="BI8" s="1">
        <v>7.7472581390385673E-4</v>
      </c>
      <c r="BJ8" s="1">
        <v>-4.4153175031400337E-2</v>
      </c>
      <c r="BK8" s="1">
        <v>-0.12781749919113261</v>
      </c>
      <c r="BL8" s="1">
        <v>-7.2432157488015722E-2</v>
      </c>
      <c r="BM8" s="1">
        <v>0.10840305919746319</v>
      </c>
      <c r="BN8" s="1">
        <v>2.00342861164488E-2</v>
      </c>
      <c r="BO8" s="1">
        <v>-5.930944847791942E-2</v>
      </c>
      <c r="BP8" s="1">
        <v>0.1112056996530159</v>
      </c>
      <c r="BQ8" s="1">
        <v>2.3185398680049658E-2</v>
      </c>
      <c r="BR8" s="1">
        <v>-1.026409617493015E-4</v>
      </c>
      <c r="BS8" s="1">
        <v>-7.7496030354859474E-3</v>
      </c>
      <c r="BT8" s="1">
        <v>5.315501114762082E-3</v>
      </c>
      <c r="BU8" s="1">
        <v>-1.0113040292297339E-2</v>
      </c>
      <c r="BV8" s="1">
        <v>1.270093762960341E-2</v>
      </c>
      <c r="BW8" s="1">
        <v>1.3279288910833481E-3</v>
      </c>
      <c r="BX8" s="1">
        <v>3.6683627867879792E-2</v>
      </c>
      <c r="BY8" s="1">
        <v>-3.9134648716988192E-2</v>
      </c>
      <c r="BZ8" s="1">
        <v>3.635065268910817E-3</v>
      </c>
      <c r="CA8" s="1">
        <v>8.9748460645303028E-3</v>
      </c>
      <c r="CB8" s="1">
        <v>9.9785090172664612E-2</v>
      </c>
      <c r="CC8" s="1">
        <v>-3.6618777735769603E-2</v>
      </c>
      <c r="CD8" s="1">
        <v>0.1167349751716226</v>
      </c>
      <c r="CE8" s="1">
        <v>-6.4438189676672364E-2</v>
      </c>
      <c r="CF8" s="1">
        <v>6.363829147445571E-2</v>
      </c>
      <c r="CG8" s="1">
        <v>-2.7816438404749719E-2</v>
      </c>
      <c r="CH8" s="1">
        <v>7.4691327814745773E-2</v>
      </c>
      <c r="CI8" s="1">
        <v>-5.3353721122382708E-2</v>
      </c>
      <c r="CJ8" s="1">
        <v>0.11263908715842991</v>
      </c>
      <c r="CK8" s="1">
        <v>-3.2627860635683778E-2</v>
      </c>
    </row>
    <row r="9" spans="1:89" x14ac:dyDescent="0.2">
      <c r="A9" s="10"/>
      <c r="B9" s="1" t="s">
        <v>12</v>
      </c>
      <c r="C9" s="2">
        <v>-0.40570766348713111</v>
      </c>
      <c r="D9" s="1">
        <v>3.3554114389061918E-2</v>
      </c>
      <c r="E9" s="1">
        <v>-5.870198654044867E-3</v>
      </c>
      <c r="F9" s="1">
        <v>9.2806009818062613E-2</v>
      </c>
      <c r="G9" s="1">
        <v>0.1163916663597741</v>
      </c>
      <c r="H9" s="1">
        <v>2.8127311765393129E-2</v>
      </c>
      <c r="I9" s="1">
        <v>-9.1634386696425096E-2</v>
      </c>
      <c r="J9" s="1">
        <v>-4.1235719969955398E-2</v>
      </c>
      <c r="K9" s="1">
        <v>8.5788973854603878E-3</v>
      </c>
      <c r="L9" s="1">
        <v>-5.1168117309552397E-2</v>
      </c>
      <c r="M9" s="1">
        <v>5.3175569076091063E-2</v>
      </c>
      <c r="N9" s="1">
        <v>2.0585346317122079E-2</v>
      </c>
      <c r="O9" s="1">
        <v>-1.252931951273489E-2</v>
      </c>
      <c r="P9" s="2">
        <v>-0.15299937140922201</v>
      </c>
      <c r="Q9" s="1">
        <v>5.1934652272360202E-2</v>
      </c>
      <c r="R9" s="2">
        <v>-0.25982476823728162</v>
      </c>
      <c r="S9" s="1">
        <v>-4.9661725786913309E-2</v>
      </c>
      <c r="T9" s="2">
        <v>-0.14567028333685711</v>
      </c>
      <c r="U9" s="1">
        <v>-3.7500135899780018E-2</v>
      </c>
      <c r="V9" s="2">
        <v>0.60536496118634942</v>
      </c>
      <c r="W9" s="2">
        <v>0.26619725709739211</v>
      </c>
      <c r="X9" s="2">
        <v>0.11885330949580999</v>
      </c>
      <c r="Y9" s="1">
        <v>-3.8707582141359373E-2</v>
      </c>
      <c r="Z9" s="1">
        <v>4.0432160771140813E-2</v>
      </c>
      <c r="AA9" s="1">
        <v>-5.7691120878526028E-2</v>
      </c>
      <c r="AB9" s="1">
        <v>5.236995885020182E-2</v>
      </c>
      <c r="AC9" s="2">
        <v>0.14309280946158279</v>
      </c>
      <c r="AD9" s="1">
        <v>3.0202307283762699E-3</v>
      </c>
      <c r="AE9" s="1">
        <v>-0.1014151839053275</v>
      </c>
      <c r="AF9" s="1">
        <v>3.4989141560405938E-2</v>
      </c>
      <c r="AG9" s="1">
        <v>-6.6422192418342685E-2</v>
      </c>
      <c r="AH9" s="1">
        <v>0.10565363224139911</v>
      </c>
      <c r="AI9" s="1">
        <v>2.3640970736038429E-2</v>
      </c>
      <c r="AJ9" s="1">
        <v>-6.7039645829157279E-2</v>
      </c>
      <c r="AK9" s="1">
        <v>3.0880959837244201E-2</v>
      </c>
      <c r="AL9" s="1">
        <v>4.546943321963344E-2</v>
      </c>
      <c r="AM9" s="1">
        <v>8.602192247901741E-2</v>
      </c>
      <c r="AN9" s="1">
        <v>9.2453575583680576E-3</v>
      </c>
      <c r="AO9" s="1">
        <v>-8.346712165684779E-2</v>
      </c>
      <c r="AP9" s="1">
        <v>8.9299382999542445E-2</v>
      </c>
      <c r="AQ9" s="1">
        <v>-4.3146743318431907E-2</v>
      </c>
      <c r="AR9" s="2">
        <v>0.1222814276982204</v>
      </c>
      <c r="AS9" s="1">
        <v>-6.2641680554977224E-3</v>
      </c>
      <c r="AT9" s="1">
        <v>6.411635341665986E-2</v>
      </c>
      <c r="AU9" s="1">
        <v>-8.2168892219881967E-3</v>
      </c>
      <c r="AV9" s="1">
        <v>-8.6964047053680466E-2</v>
      </c>
      <c r="AW9" s="1">
        <v>-0.1057922170824441</v>
      </c>
      <c r="AX9" s="1">
        <v>7.2000491638314637E-2</v>
      </c>
      <c r="AY9" s="1">
        <v>0.10460061012020321</v>
      </c>
      <c r="AZ9" s="1">
        <v>8.5498134227262101E-2</v>
      </c>
      <c r="BA9" s="1">
        <v>9.8077027842345482E-2</v>
      </c>
      <c r="BB9" s="1">
        <v>-5.509722586836731E-3</v>
      </c>
      <c r="BC9" s="1">
        <v>3.7801584558223487E-2</v>
      </c>
      <c r="BD9" s="1">
        <v>3.3588220308320899E-2</v>
      </c>
      <c r="BE9" s="1">
        <v>6.7044740832165411E-2</v>
      </c>
      <c r="BF9" s="1">
        <v>1.6682685922577298E-2</v>
      </c>
      <c r="BG9" s="1">
        <v>-5.8565443395850042E-3</v>
      </c>
      <c r="BH9" s="1">
        <v>-3.5312834543381709E-2</v>
      </c>
      <c r="BI9" s="1">
        <v>-2.983393669863181E-3</v>
      </c>
      <c r="BJ9" s="1">
        <v>5.5082515239801948E-2</v>
      </c>
      <c r="BK9" s="1">
        <v>9.7715912591240503E-2</v>
      </c>
      <c r="BL9" s="1">
        <v>5.2583362157224492E-2</v>
      </c>
      <c r="BM9" s="1">
        <v>-7.0189312915389379E-2</v>
      </c>
      <c r="BN9" s="1">
        <v>-7.6084934461169724E-3</v>
      </c>
      <c r="BO9" s="1">
        <v>7.7278437889099754E-3</v>
      </c>
      <c r="BP9" s="2">
        <v>0.1179349386523636</v>
      </c>
      <c r="BQ9" s="1">
        <v>4.4423281913025081E-2</v>
      </c>
      <c r="BR9" s="1">
        <v>-2.4940797167645471E-2</v>
      </c>
      <c r="BS9" s="1">
        <v>2.2872684913056562E-2</v>
      </c>
      <c r="BT9" s="1">
        <v>-3.2795491415991578E-2</v>
      </c>
      <c r="BU9" s="1">
        <v>3.1033960431794291E-2</v>
      </c>
      <c r="BV9" s="1">
        <v>-3.2960091255816511E-2</v>
      </c>
      <c r="BW9" s="1">
        <v>2.863219708828546E-2</v>
      </c>
      <c r="BX9" s="1">
        <v>-5.808911329750794E-2</v>
      </c>
      <c r="BY9" s="1">
        <v>4.2603492291191793E-2</v>
      </c>
      <c r="BZ9" s="1">
        <v>-4.594344591170417E-2</v>
      </c>
      <c r="CA9" s="1">
        <v>4.8588594191910077E-2</v>
      </c>
      <c r="CB9" s="1">
        <v>-1.5379326827555981E-2</v>
      </c>
      <c r="CC9" s="1">
        <v>2.039636641478209E-2</v>
      </c>
      <c r="CD9" s="1">
        <v>-3.450992911736674E-4</v>
      </c>
      <c r="CE9" s="1">
        <v>6.585961240305466E-3</v>
      </c>
      <c r="CF9" s="1">
        <v>-2.6150590963515699E-2</v>
      </c>
      <c r="CG9" s="1">
        <v>3.3362003569099997E-2</v>
      </c>
      <c r="CH9" s="1">
        <v>4.1595726110523312E-2</v>
      </c>
      <c r="CI9" s="1">
        <v>-2.7833681076828262E-2</v>
      </c>
      <c r="CJ9" s="1">
        <v>7.2990512131775641E-3</v>
      </c>
      <c r="CK9" s="1">
        <v>9.4901442097985907E-3</v>
      </c>
    </row>
    <row r="10" spans="1:89" x14ac:dyDescent="0.2">
      <c r="A10" s="10"/>
      <c r="B10" s="1" t="s">
        <v>13</v>
      </c>
      <c r="C10" s="1">
        <v>-0.1331672379217462</v>
      </c>
      <c r="D10" s="1">
        <v>0.15202187777439569</v>
      </c>
      <c r="E10" s="1">
        <v>0.12391459349829891</v>
      </c>
      <c r="F10" s="1">
        <v>0.1138877967180861</v>
      </c>
      <c r="G10" s="1">
        <v>-6.5355012709494884E-2</v>
      </c>
      <c r="H10" s="2">
        <v>0.23029795483887369</v>
      </c>
      <c r="I10" s="1">
        <v>-5.1940924745295944E-3</v>
      </c>
      <c r="J10" s="1">
        <v>-5.4161720814540272E-2</v>
      </c>
      <c r="K10" s="1">
        <v>-3.6503027123257932E-2</v>
      </c>
      <c r="L10" s="1">
        <v>-1.5697851846214361E-2</v>
      </c>
      <c r="M10" s="2">
        <v>0.19160738599896099</v>
      </c>
      <c r="N10" s="1">
        <v>9.8308460124632679E-2</v>
      </c>
      <c r="O10" s="1">
        <v>5.3440676046828672E-3</v>
      </c>
      <c r="P10" s="1">
        <v>-0.13461886722224881</v>
      </c>
      <c r="Q10" s="1">
        <v>2.7949842641292189E-3</v>
      </c>
      <c r="R10" s="2">
        <v>-0.29495376025520342</v>
      </c>
      <c r="S10" s="1">
        <v>-4.3530496748556517E-2</v>
      </c>
      <c r="T10" s="1">
        <v>-9.7134097850232429E-2</v>
      </c>
      <c r="U10" s="1">
        <v>-7.9304457448491725E-2</v>
      </c>
      <c r="V10" s="2">
        <v>-0.2048315055834303</v>
      </c>
      <c r="W10" s="1">
        <v>-7.7416966873549792E-2</v>
      </c>
      <c r="X10" s="1">
        <v>-0.1471584220525991</v>
      </c>
      <c r="Y10" s="1">
        <v>-2.1125063964065709E-2</v>
      </c>
      <c r="Z10" s="2">
        <v>0.22543389665959329</v>
      </c>
      <c r="AA10" s="1">
        <v>3.2637883100495757E-2</v>
      </c>
      <c r="AB10" s="1">
        <v>-0.1005016123183968</v>
      </c>
      <c r="AC10" s="1">
        <v>-2.4616748903353362E-2</v>
      </c>
      <c r="AD10" s="2">
        <v>-0.17021698503841559</v>
      </c>
      <c r="AE10" s="2">
        <v>0.40451967381631698</v>
      </c>
      <c r="AF10" s="2">
        <v>0.21216158837080351</v>
      </c>
      <c r="AG10" s="1">
        <v>0.1342909962062708</v>
      </c>
      <c r="AH10" s="1">
        <v>8.6797236420305207E-2</v>
      </c>
      <c r="AI10" s="1">
        <v>-3.6700383371583163E-2</v>
      </c>
      <c r="AJ10" s="1">
        <v>-5.7805915553332532E-3</v>
      </c>
      <c r="AK10" s="1">
        <v>3.554121448720339E-2</v>
      </c>
      <c r="AL10" s="1">
        <v>2.8123792579896761E-2</v>
      </c>
      <c r="AM10" s="1">
        <v>0.1041856648481623</v>
      </c>
      <c r="AN10" s="1">
        <v>3.3921716571717428E-2</v>
      </c>
      <c r="AO10" s="1">
        <v>-9.699168850946932E-2</v>
      </c>
      <c r="AP10" s="1">
        <v>6.9675159860444022E-2</v>
      </c>
      <c r="AQ10" s="1">
        <v>-5.5661378878017052E-2</v>
      </c>
      <c r="AR10" s="1">
        <v>0.1120104420991621</v>
      </c>
      <c r="AS10" s="1">
        <v>-4.455082918250571E-3</v>
      </c>
      <c r="AT10" s="1">
        <v>0.14082202205731739</v>
      </c>
      <c r="AU10" s="1">
        <v>-8.437857687480049E-5</v>
      </c>
      <c r="AV10" s="1">
        <v>6.0681060522489998E-2</v>
      </c>
      <c r="AW10" s="1">
        <v>0.1039466835292487</v>
      </c>
      <c r="AX10" s="1">
        <v>-0.10935049468250389</v>
      </c>
      <c r="AY10" s="1">
        <v>8.152257676437831E-2</v>
      </c>
      <c r="AZ10" s="2">
        <v>-0.20129166460358849</v>
      </c>
      <c r="BA10" s="2">
        <v>-0.17807917694173109</v>
      </c>
      <c r="BB10" s="1">
        <v>-0.1290503696895027</v>
      </c>
      <c r="BC10" s="1">
        <v>-4.3728724366503623E-2</v>
      </c>
      <c r="BD10" s="1">
        <v>7.0625238812684357E-2</v>
      </c>
      <c r="BE10" s="1">
        <v>4.2918549024480307E-2</v>
      </c>
      <c r="BF10" s="1">
        <v>5.8455278956141249E-2</v>
      </c>
      <c r="BG10" s="1">
        <v>-4.8991620539947127E-3</v>
      </c>
      <c r="BH10" s="1">
        <v>1.4414381013478869E-2</v>
      </c>
      <c r="BI10" s="1">
        <v>5.481119093819699E-4</v>
      </c>
      <c r="BJ10" s="1">
        <v>0.1091768081433333</v>
      </c>
      <c r="BK10" s="1">
        <v>-0.15191426787805701</v>
      </c>
      <c r="BL10" s="1">
        <v>6.5728662163445473E-2</v>
      </c>
      <c r="BM10" s="1">
        <v>1.1882714933087041E-2</v>
      </c>
      <c r="BN10" s="1">
        <v>3.560082948562783E-3</v>
      </c>
      <c r="BO10" s="1">
        <v>0.12059723039641609</v>
      </c>
      <c r="BP10" s="1">
        <v>-0.1254332694399421</v>
      </c>
      <c r="BQ10" s="1">
        <v>-1.218528758387669E-2</v>
      </c>
      <c r="BR10" s="1">
        <v>2.575020723328983E-3</v>
      </c>
      <c r="BS10" s="1">
        <v>8.3153560945008042E-3</v>
      </c>
      <c r="BT10" s="1">
        <v>-8.3246262619014345E-3</v>
      </c>
      <c r="BU10" s="1">
        <v>7.9538835538955945E-3</v>
      </c>
      <c r="BV10" s="1">
        <v>-1.2807712634358341E-2</v>
      </c>
      <c r="BW10" s="1">
        <v>8.0346908926813773E-3</v>
      </c>
      <c r="BX10" s="1">
        <v>-1.9854184528273061E-2</v>
      </c>
      <c r="BY10" s="1">
        <v>2.1320044211080979E-2</v>
      </c>
      <c r="BZ10" s="1">
        <v>-2.4613519589587698E-2</v>
      </c>
      <c r="CA10" s="1">
        <v>2.060383525972892E-2</v>
      </c>
      <c r="CB10" s="1">
        <v>-5.9174968808934698E-2</v>
      </c>
      <c r="CC10" s="1">
        <v>4.3656632526248733E-2</v>
      </c>
      <c r="CD10" s="1">
        <v>-6.7682730295945626E-2</v>
      </c>
      <c r="CE10" s="1">
        <v>6.320003902607689E-2</v>
      </c>
      <c r="CF10" s="1">
        <v>-0.1096104946458394</v>
      </c>
      <c r="CG10" s="1">
        <v>7.1739987246663139E-2</v>
      </c>
      <c r="CH10" s="1">
        <v>-7.9257286522664422E-3</v>
      </c>
      <c r="CI10" s="1">
        <v>8.4074133190587281E-3</v>
      </c>
      <c r="CJ10" s="1">
        <v>-2.82722067448524E-2</v>
      </c>
      <c r="CK10" s="1">
        <v>1.1925490760360371E-2</v>
      </c>
    </row>
    <row r="11" spans="1:89" x14ac:dyDescent="0.2">
      <c r="A11" s="10"/>
      <c r="B11" s="1" t="s">
        <v>14</v>
      </c>
      <c r="C11" s="1">
        <v>2.4613935957053312E-2</v>
      </c>
      <c r="D11" s="1">
        <v>0.1559782390465381</v>
      </c>
      <c r="E11" s="1">
        <v>0.15308600823076601</v>
      </c>
      <c r="F11" s="1">
        <v>-1.38256772805546E-2</v>
      </c>
      <c r="G11" s="2">
        <v>0.18589615494794051</v>
      </c>
      <c r="H11" s="2">
        <v>0.31716541474228988</v>
      </c>
      <c r="I11" s="1">
        <v>-4.2434688750498863E-2</v>
      </c>
      <c r="J11" s="1">
        <v>7.1209129218069336E-2</v>
      </c>
      <c r="K11" s="1">
        <v>-3.316390207597987E-2</v>
      </c>
      <c r="L11" s="1">
        <v>1.7977196056180259E-2</v>
      </c>
      <c r="M11" s="1">
        <v>-6.844529171561789E-2</v>
      </c>
      <c r="N11" s="1">
        <v>-5.6053752427137241E-2</v>
      </c>
      <c r="O11" s="1">
        <v>-7.4408579447038881E-2</v>
      </c>
      <c r="P11" s="1">
        <v>3.8235191267175797E-2</v>
      </c>
      <c r="Q11" s="1">
        <v>0.12626014848293149</v>
      </c>
      <c r="R11" s="1">
        <v>-7.4538285080808619E-2</v>
      </c>
      <c r="S11" s="1">
        <v>5.2422071232883387E-2</v>
      </c>
      <c r="T11" s="1">
        <v>-0.1011355357287754</v>
      </c>
      <c r="U11" s="1">
        <v>-0.1061230106455963</v>
      </c>
      <c r="V11" s="1">
        <v>-0.1152308876790234</v>
      </c>
      <c r="W11" s="1">
        <v>-3.6229972955062313E-2</v>
      </c>
      <c r="X11" s="1">
        <v>-0.12443641317229689</v>
      </c>
      <c r="Y11" s="1">
        <v>-2.1835870301396731E-2</v>
      </c>
      <c r="Z11" s="1">
        <v>0.15936349646639</v>
      </c>
      <c r="AA11" s="1">
        <v>-0.1008691989131367</v>
      </c>
      <c r="AB11" s="1">
        <v>9.5140694174595489E-2</v>
      </c>
      <c r="AC11" s="2">
        <v>0.20826564235079731</v>
      </c>
      <c r="AD11" s="1">
        <v>5.0683415321446462E-2</v>
      </c>
      <c r="AE11" s="1">
        <v>-0.16846516007114079</v>
      </c>
      <c r="AF11" s="1">
        <v>5.705666082294629E-2</v>
      </c>
      <c r="AG11" s="1">
        <v>-4.539133569695776E-2</v>
      </c>
      <c r="AH11" s="1">
        <v>4.0221766333684163E-2</v>
      </c>
      <c r="AI11" s="1">
        <v>0.1451846183222065</v>
      </c>
      <c r="AJ11" s="1">
        <v>3.7652851403093157E-2</v>
      </c>
      <c r="AK11" s="1">
        <v>2.736977884959509E-2</v>
      </c>
      <c r="AL11" s="1">
        <v>0.1081955551081798</v>
      </c>
      <c r="AM11" s="1">
        <v>6.0763461163190743E-2</v>
      </c>
      <c r="AN11" s="1">
        <v>5.1448476926150788E-2</v>
      </c>
      <c r="AO11" s="1">
        <v>-5.085509201503785E-2</v>
      </c>
      <c r="AP11" s="1">
        <v>7.7705972880147703E-2</v>
      </c>
      <c r="AQ11" s="1">
        <v>1.5872124386791579E-2</v>
      </c>
      <c r="AR11" s="1">
        <v>0.1124339891965755</v>
      </c>
      <c r="AS11" s="1">
        <v>-6.4515360868457744E-3</v>
      </c>
      <c r="AT11" s="1">
        <v>-7.9482952689429263E-3</v>
      </c>
      <c r="AU11" s="1">
        <v>-2.8461760272384382E-2</v>
      </c>
      <c r="AV11" s="1">
        <v>-3.60193860111811E-3</v>
      </c>
      <c r="AW11" s="1">
        <v>0.1557806145883491</v>
      </c>
      <c r="AX11" s="1">
        <v>4.4516073402442562E-2</v>
      </c>
      <c r="AY11" s="1">
        <v>3.7200943499651418E-2</v>
      </c>
      <c r="AZ11" s="1">
        <v>3.2121407693218459E-2</v>
      </c>
      <c r="BA11" s="1">
        <v>-2.3521618922900091E-2</v>
      </c>
      <c r="BB11" s="1">
        <v>0.1159100128899631</v>
      </c>
      <c r="BC11" s="1">
        <v>3.908792447702733E-2</v>
      </c>
      <c r="BD11" s="2">
        <v>-0.18245675684525539</v>
      </c>
      <c r="BE11" s="1">
        <v>-0.1357160375208917</v>
      </c>
      <c r="BF11" s="1">
        <v>-0.12672046087134919</v>
      </c>
      <c r="BG11" s="1">
        <v>1.4361246998831741E-2</v>
      </c>
      <c r="BH11" s="1">
        <v>-4.178706252769554E-2</v>
      </c>
      <c r="BI11" s="1">
        <v>-0.1064016817870074</v>
      </c>
      <c r="BJ11" s="2">
        <v>-0.23667595530642629</v>
      </c>
      <c r="BK11" s="1">
        <v>4.6830480952932352E-2</v>
      </c>
      <c r="BL11" s="1">
        <v>3.2787825550496259E-2</v>
      </c>
      <c r="BM11" s="1">
        <v>-1.4617509049214619E-2</v>
      </c>
      <c r="BN11" s="1">
        <v>-5.1355043213691172E-2</v>
      </c>
      <c r="BO11" s="2">
        <v>-0.25076032897301959</v>
      </c>
      <c r="BP11" s="2">
        <v>-0.17223933616123621</v>
      </c>
      <c r="BQ11" s="1">
        <v>-7.574254300724266E-2</v>
      </c>
      <c r="BR11" s="1">
        <v>5.5282796509819279E-2</v>
      </c>
      <c r="BS11" s="1">
        <v>-4.7234409500697683E-2</v>
      </c>
      <c r="BT11" s="1">
        <v>7.21071849274562E-2</v>
      </c>
      <c r="BU11" s="1">
        <v>-5.8862397925799767E-2</v>
      </c>
      <c r="BV11" s="1">
        <v>4.7200019216615437E-2</v>
      </c>
      <c r="BW11" s="1">
        <v>-2.6575394645096961E-2</v>
      </c>
      <c r="BX11" s="1">
        <v>5.0799931892991528E-2</v>
      </c>
      <c r="BY11" s="1">
        <v>-1.215722379533714E-2</v>
      </c>
      <c r="BZ11" s="1">
        <v>5.7762746792297773E-2</v>
      </c>
      <c r="CA11" s="1">
        <v>-4.367664310898195E-2</v>
      </c>
      <c r="CB11" s="2">
        <v>0.25970642443278569</v>
      </c>
      <c r="CC11" s="2">
        <v>-0.20173513174928259</v>
      </c>
      <c r="CD11" s="2">
        <v>0.18588167337926439</v>
      </c>
      <c r="CE11" s="1">
        <v>-0.14540237557733729</v>
      </c>
      <c r="CF11" s="1">
        <v>4.418901322978732E-2</v>
      </c>
      <c r="CG11" s="1">
        <v>-6.6606139662255858E-3</v>
      </c>
      <c r="CH11" s="1">
        <v>0.1420304581966936</v>
      </c>
      <c r="CI11" s="1">
        <v>-0.12286614117589829</v>
      </c>
      <c r="CJ11" s="1">
        <v>0.11818475285405609</v>
      </c>
      <c r="CK11" s="1">
        <v>-4.1123561240554933E-2</v>
      </c>
    </row>
    <row r="12" spans="1:89" x14ac:dyDescent="0.2">
      <c r="A12" s="10"/>
      <c r="B12" s="1" t="s">
        <v>15</v>
      </c>
      <c r="C12" s="1">
        <v>-9.886736566263124E-2</v>
      </c>
      <c r="D12" s="1">
        <v>6.0560049469231818E-2</v>
      </c>
      <c r="E12" s="1">
        <v>6.3785564919102797E-2</v>
      </c>
      <c r="F12" s="1">
        <v>-9.4782803878598762E-2</v>
      </c>
      <c r="G12" s="1">
        <v>3.8484979999644807E-2</v>
      </c>
      <c r="H12" s="2">
        <v>0.44088556939074169</v>
      </c>
      <c r="I12" s="1">
        <v>-2.5978997062044651E-2</v>
      </c>
      <c r="J12" s="1">
        <v>7.2284141096782412E-2</v>
      </c>
      <c r="K12" s="1">
        <v>-1.6273445054941629E-2</v>
      </c>
      <c r="L12" s="1">
        <v>1.607084285044524E-2</v>
      </c>
      <c r="M12" s="2">
        <v>-0.2278541871218675</v>
      </c>
      <c r="N12" s="1">
        <v>-1.8356998609180188E-2</v>
      </c>
      <c r="O12" s="1">
        <v>-8.2618527712198714E-2</v>
      </c>
      <c r="P12" s="1">
        <v>1.364176525718103E-2</v>
      </c>
      <c r="Q12" s="1">
        <v>8.4475595064732456E-2</v>
      </c>
      <c r="R12" s="1">
        <v>6.921109300492001E-3</v>
      </c>
      <c r="S12" s="1">
        <v>-6.8813919210361549E-2</v>
      </c>
      <c r="T12" s="1">
        <v>7.2366844793151697E-2</v>
      </c>
      <c r="U12" s="1">
        <v>-3.579675032319049E-2</v>
      </c>
      <c r="V12" s="1">
        <v>-0.10530094722451321</v>
      </c>
      <c r="W12" s="1">
        <v>-7.9175199996240897E-2</v>
      </c>
      <c r="X12" s="1">
        <v>1.5729077980466501E-2</v>
      </c>
      <c r="Y12" s="1">
        <v>-2.4510836128518149E-2</v>
      </c>
      <c r="Z12" s="1">
        <v>-8.9639415753520801E-2</v>
      </c>
      <c r="AA12" s="1">
        <v>-0.11094223517475341</v>
      </c>
      <c r="AB12" s="1">
        <v>0.16758231233033261</v>
      </c>
      <c r="AC12" s="1">
        <v>8.2763822465740836E-2</v>
      </c>
      <c r="AD12" s="1">
        <v>0.1126030855443596</v>
      </c>
      <c r="AE12" s="1">
        <v>-0.1339283036011103</v>
      </c>
      <c r="AF12" s="1">
        <v>-7.5040169829012029E-2</v>
      </c>
      <c r="AG12" s="1">
        <v>-4.4452153196346961E-2</v>
      </c>
      <c r="AH12" s="1">
        <v>-6.985576913020238E-4</v>
      </c>
      <c r="AI12" s="1">
        <v>6.7105021019455327E-2</v>
      </c>
      <c r="AJ12" s="1">
        <v>5.9036290769940623E-2</v>
      </c>
      <c r="AK12" s="1">
        <v>-1.3122454952667119E-2</v>
      </c>
      <c r="AL12" s="1">
        <v>-0.13816832807628179</v>
      </c>
      <c r="AM12" s="1">
        <v>-4.5064797169176878E-2</v>
      </c>
      <c r="AN12" s="1">
        <v>6.8505488181651697E-2</v>
      </c>
      <c r="AO12" s="1">
        <v>5.6959449189895629E-2</v>
      </c>
      <c r="AP12" s="1">
        <v>7.1813689596284133E-2</v>
      </c>
      <c r="AQ12" s="2">
        <v>0.28104669139482891</v>
      </c>
      <c r="AR12" s="1">
        <v>-5.4503628957234707E-2</v>
      </c>
      <c r="AS12" s="1">
        <v>-6.2504049122239754E-3</v>
      </c>
      <c r="AT12" s="1">
        <v>4.9507512459275463E-3</v>
      </c>
      <c r="AU12" s="1">
        <v>7.1829865592031902E-2</v>
      </c>
      <c r="AV12" s="1">
        <v>5.0519546169569857E-2</v>
      </c>
      <c r="AW12" s="1">
        <v>-5.0683250175731838E-2</v>
      </c>
      <c r="AX12" s="1">
        <v>0.1170159364843983</v>
      </c>
      <c r="AY12" s="1">
        <v>-5.4666309311308781E-2</v>
      </c>
      <c r="AZ12" s="1">
        <v>6.2116420696796933E-3</v>
      </c>
      <c r="BA12" s="1">
        <v>-4.1769830276972987E-2</v>
      </c>
      <c r="BB12" s="1">
        <v>3.003219416979205E-2</v>
      </c>
      <c r="BC12" s="1">
        <v>3.6465258183474167E-2</v>
      </c>
      <c r="BD12" s="2">
        <v>0.16788200824603841</v>
      </c>
      <c r="BE12" s="2">
        <v>0.21973279916816851</v>
      </c>
      <c r="BF12" s="1">
        <v>9.3559027880856738E-2</v>
      </c>
      <c r="BG12" s="1">
        <v>5.2739358361021352E-2</v>
      </c>
      <c r="BH12" s="1">
        <v>-1.1987025682574351E-3</v>
      </c>
      <c r="BI12" s="1">
        <v>2.6455136845531409E-2</v>
      </c>
      <c r="BJ12" s="2">
        <v>0.2347908170365042</v>
      </c>
      <c r="BK12" s="1">
        <v>-5.9402218178195701E-2</v>
      </c>
      <c r="BL12" s="1">
        <v>0.1528719197287674</v>
      </c>
      <c r="BM12" s="2">
        <v>-0.19381596820096281</v>
      </c>
      <c r="BN12" s="1">
        <v>-0.12678551161780549</v>
      </c>
      <c r="BO12" s="2">
        <v>0.24917601918292329</v>
      </c>
      <c r="BP12" s="1">
        <v>2.9397941173928251E-2</v>
      </c>
      <c r="BQ12" s="1">
        <v>1.2923480067874219E-2</v>
      </c>
      <c r="BR12" s="1">
        <v>4.0665752897726948E-2</v>
      </c>
      <c r="BS12" s="1">
        <v>-3.5214767734712903E-2</v>
      </c>
      <c r="BT12" s="1">
        <v>0.12812366943915829</v>
      </c>
      <c r="BU12" s="1">
        <v>-0.1057045960147291</v>
      </c>
      <c r="BV12" s="1">
        <v>4.9981273304166032E-2</v>
      </c>
      <c r="BW12" s="1">
        <v>-4.070163286606767E-2</v>
      </c>
      <c r="BX12" s="1">
        <v>5.8739152070577887E-2</v>
      </c>
      <c r="BY12" s="1">
        <v>-2.4994096806486191E-2</v>
      </c>
      <c r="BZ12" s="1">
        <v>-1.8338307931056529E-2</v>
      </c>
      <c r="CA12" s="1">
        <v>6.6931855046146807E-3</v>
      </c>
      <c r="CB12" s="2">
        <v>-0.20989760711712921</v>
      </c>
      <c r="CC12" s="2">
        <v>0.19229900878625991</v>
      </c>
      <c r="CD12" s="1">
        <v>1.6700022626530489E-3</v>
      </c>
      <c r="CE12" s="1">
        <v>-1.60803096341969E-3</v>
      </c>
      <c r="CF12" s="1">
        <v>8.5344776120584498E-2</v>
      </c>
      <c r="CG12" s="1">
        <v>-8.2723121704209132E-2</v>
      </c>
      <c r="CH12" s="1">
        <v>-3.6469117133674581E-2</v>
      </c>
      <c r="CI12" s="1">
        <v>4.3933948648420408E-2</v>
      </c>
      <c r="CJ12" s="1">
        <v>-3.2112545266487241E-2</v>
      </c>
      <c r="CK12" s="1">
        <v>1.9896270999134141E-2</v>
      </c>
    </row>
    <row r="13" spans="1:89" x14ac:dyDescent="0.2">
      <c r="A13" s="10"/>
      <c r="B13" s="1" t="s">
        <v>16</v>
      </c>
      <c r="C13" s="2">
        <v>-0.15169997593584819</v>
      </c>
      <c r="D13" s="1">
        <v>-0.12916462706697379</v>
      </c>
      <c r="E13" s="1">
        <v>-8.3220375978331082E-2</v>
      </c>
      <c r="F13" s="1">
        <v>-9.4781657613841774E-2</v>
      </c>
      <c r="G13" s="1">
        <v>3.196382999486963E-3</v>
      </c>
      <c r="H13" s="2">
        <v>0.26086377776688191</v>
      </c>
      <c r="I13" s="1">
        <v>7.8549742037104839E-2</v>
      </c>
      <c r="J13" s="1">
        <v>9.8894363260476903E-2</v>
      </c>
      <c r="K13" s="1">
        <v>1.631619453698915E-2</v>
      </c>
      <c r="L13" s="1">
        <v>4.9058294481812308E-2</v>
      </c>
      <c r="M13" s="1">
        <v>-0.11506083968295561</v>
      </c>
      <c r="N13" s="1">
        <v>3.7970594589904982E-2</v>
      </c>
      <c r="O13" s="1">
        <v>4.1287432441087853E-2</v>
      </c>
      <c r="P13" s="1">
        <v>0.1307562483263601</v>
      </c>
      <c r="Q13" s="1">
        <v>-3.9235786843259179E-2</v>
      </c>
      <c r="R13" s="2">
        <v>0.38408883684431311</v>
      </c>
      <c r="S13" s="1">
        <v>6.708107948255311E-2</v>
      </c>
      <c r="T13" s="1">
        <v>6.3061284019014618E-2</v>
      </c>
      <c r="U13" s="1">
        <v>5.2014549915908259E-2</v>
      </c>
      <c r="V13" s="1">
        <v>5.3965347929534002E-2</v>
      </c>
      <c r="W13" s="1">
        <v>4.2353142199185102E-2</v>
      </c>
      <c r="X13" s="1">
        <v>3.9762658843288598E-2</v>
      </c>
      <c r="Y13" s="1">
        <v>-6.5831236838702636E-2</v>
      </c>
      <c r="Z13" s="1">
        <v>8.8344425732411025E-2</v>
      </c>
      <c r="AA13" s="1">
        <v>7.4070548216075685E-2</v>
      </c>
      <c r="AB13" s="1">
        <v>4.0896048786471392E-2</v>
      </c>
      <c r="AC13" s="1">
        <v>-2.5844444612320092E-2</v>
      </c>
      <c r="AD13" s="1">
        <v>4.9526870531585242E-2</v>
      </c>
      <c r="AE13" s="2">
        <v>0.20976521554772759</v>
      </c>
      <c r="AF13" s="1">
        <v>0.1202515565916679</v>
      </c>
      <c r="AG13" s="2">
        <v>0.1653340166211808</v>
      </c>
      <c r="AH13" s="1">
        <v>-0.11714897834356711</v>
      </c>
      <c r="AI13" s="1">
        <v>-7.8667954817866707E-3</v>
      </c>
      <c r="AJ13" s="1">
        <v>9.2999645428334637E-2</v>
      </c>
      <c r="AK13" s="1">
        <v>0.11947906422667071</v>
      </c>
      <c r="AL13" s="2">
        <v>0.28767393646787642</v>
      </c>
      <c r="AM13" s="1">
        <v>0.11343844000094611</v>
      </c>
      <c r="AN13" s="1">
        <v>-7.4086420053685376E-2</v>
      </c>
      <c r="AO13" s="1">
        <v>-0.1256350782580446</v>
      </c>
      <c r="AP13" s="1">
        <v>0.12751740289279129</v>
      </c>
      <c r="AQ13" s="1">
        <v>-0.14985259490024549</v>
      </c>
      <c r="AR13" s="2">
        <v>0.16901247220066271</v>
      </c>
      <c r="AS13" s="1">
        <v>-6.2293683035371051E-3</v>
      </c>
      <c r="AT13" s="2">
        <v>-0.30121762148776959</v>
      </c>
      <c r="AU13" s="2">
        <v>0.233236658292231</v>
      </c>
      <c r="AV13" s="1">
        <v>-1.367506159227266E-2</v>
      </c>
      <c r="AW13" s="1">
        <v>-3.5534058997013902E-2</v>
      </c>
      <c r="AX13" s="1">
        <v>2.30340421610183E-2</v>
      </c>
      <c r="AY13" s="1">
        <v>3.0690516839222529E-2</v>
      </c>
      <c r="AZ13" s="1">
        <v>9.529287423847442E-2</v>
      </c>
      <c r="BA13" s="1">
        <v>1.700307091004365E-2</v>
      </c>
      <c r="BB13" s="1">
        <v>6.585789891314483E-3</v>
      </c>
      <c r="BC13" s="1">
        <v>5.4097115821587063E-2</v>
      </c>
      <c r="BD13" s="1">
        <v>6.6768692297622931E-2</v>
      </c>
      <c r="BE13" s="1">
        <v>7.2734029986215962E-2</v>
      </c>
      <c r="BF13" s="1">
        <v>-1.513994418994089E-2</v>
      </c>
      <c r="BG13" s="1">
        <v>-3.2890945202223451E-2</v>
      </c>
      <c r="BH13" s="1">
        <v>-1.2192423944006339E-2</v>
      </c>
      <c r="BI13" s="1">
        <v>-3.3330333594422043E-2</v>
      </c>
      <c r="BJ13" s="1">
        <v>4.4592105739990277E-2</v>
      </c>
      <c r="BK13" s="1">
        <v>-3.6104084726267797E-2</v>
      </c>
      <c r="BL13" s="1">
        <v>-0.1281947415258127</v>
      </c>
      <c r="BM13" s="2">
        <v>0.16637480999546631</v>
      </c>
      <c r="BN13" s="1">
        <v>0.1170683546835817</v>
      </c>
      <c r="BO13" s="1">
        <v>1.705387969272147E-3</v>
      </c>
      <c r="BP13" s="1">
        <v>1.6846825002662821E-2</v>
      </c>
      <c r="BQ13" s="1">
        <v>5.9560791952971572E-2</v>
      </c>
      <c r="BR13" s="1">
        <v>-2.6994763487561451E-2</v>
      </c>
      <c r="BS13" s="1">
        <v>2.751425424716903E-2</v>
      </c>
      <c r="BT13" s="1">
        <v>2.3306031503600212E-2</v>
      </c>
      <c r="BU13" s="1">
        <v>1.3925520482969129E-3</v>
      </c>
      <c r="BV13" s="1">
        <v>-5.0209360370750737E-2</v>
      </c>
      <c r="BW13" s="1">
        <v>3.3617191483045199E-2</v>
      </c>
      <c r="BX13" s="1">
        <v>-2.272649586030907E-2</v>
      </c>
      <c r="BY13" s="1">
        <v>3.1371094865600413E-2</v>
      </c>
      <c r="BZ13" s="1">
        <v>-0.14275996980778441</v>
      </c>
      <c r="CA13" s="1">
        <v>0.1081762822092128</v>
      </c>
      <c r="CB13" s="1">
        <v>-8.2402520890961589E-2</v>
      </c>
      <c r="CC13" s="1">
        <v>6.0808944719801222E-2</v>
      </c>
      <c r="CD13" s="1">
        <v>8.1148436626767462E-2</v>
      </c>
      <c r="CE13" s="1">
        <v>-6.7220488790620148E-2</v>
      </c>
      <c r="CF13" s="1">
        <v>-5.3915386225943392E-2</v>
      </c>
      <c r="CG13" s="1">
        <v>2.886632867163309E-2</v>
      </c>
      <c r="CH13" s="1">
        <v>0.1038932483709477</v>
      </c>
      <c r="CI13" s="1">
        <v>-0.1109887391777762</v>
      </c>
      <c r="CJ13" s="1">
        <v>5.5082212768224732E-2</v>
      </c>
      <c r="CK13" s="1">
        <v>-1.2297643626955649E-2</v>
      </c>
    </row>
    <row r="14" spans="1:89" x14ac:dyDescent="0.2">
      <c r="A14" s="10"/>
      <c r="B14" s="1" t="s">
        <v>17</v>
      </c>
      <c r="C14" s="1">
        <v>9.8460704902072153E-3</v>
      </c>
      <c r="D14" s="1">
        <v>4.2398826317357518E-3</v>
      </c>
      <c r="E14" s="1">
        <v>-1.7304702565964929E-2</v>
      </c>
      <c r="F14" s="1">
        <v>-1.3072347405611969E-2</v>
      </c>
      <c r="G14" s="1">
        <v>-1.533939542626978E-2</v>
      </c>
      <c r="H14" s="1">
        <v>-3.8096485979119223E-2</v>
      </c>
      <c r="I14" s="2">
        <v>0.11115015430829479</v>
      </c>
      <c r="J14" s="1">
        <v>-4.4125809464853442E-2</v>
      </c>
      <c r="K14" s="1">
        <v>1.383278317489673E-2</v>
      </c>
      <c r="L14" s="1">
        <v>-3.0486798724914992E-2</v>
      </c>
      <c r="M14" s="1">
        <v>-1.6468440732275859E-2</v>
      </c>
      <c r="N14" s="1">
        <v>-1.2440941340332849E-2</v>
      </c>
      <c r="O14" s="1">
        <v>-1.332161207964387E-2</v>
      </c>
      <c r="P14" s="1">
        <v>-5.4924441837348757E-2</v>
      </c>
      <c r="Q14" s="1">
        <v>-4.285448315216342E-2</v>
      </c>
      <c r="R14" s="2">
        <v>-0.10684048488755769</v>
      </c>
      <c r="S14" s="1">
        <v>-5.9741433791276541E-3</v>
      </c>
      <c r="T14" s="1">
        <v>-3.1950356331100382E-2</v>
      </c>
      <c r="U14" s="1">
        <v>1.9964885536704141E-2</v>
      </c>
      <c r="V14" s="1">
        <v>-4.0623010032112272E-3</v>
      </c>
      <c r="W14" s="1">
        <v>-1.306998945357846E-2</v>
      </c>
      <c r="X14" s="1">
        <v>-3.6263927453317968E-2</v>
      </c>
      <c r="Y14" s="1">
        <v>3.208264724826132E-2</v>
      </c>
      <c r="Z14" s="1">
        <v>-2.0048266380090999E-2</v>
      </c>
      <c r="AA14" s="1">
        <v>4.0458700522510743E-2</v>
      </c>
      <c r="AB14" s="1">
        <v>4.8862755295197013E-3</v>
      </c>
      <c r="AC14" s="1">
        <v>-4.3214564022713481E-2</v>
      </c>
      <c r="AD14" s="1">
        <v>-6.106432851559325E-2</v>
      </c>
      <c r="AE14" s="1">
        <v>-4.2392982962593577E-2</v>
      </c>
      <c r="AF14" s="1">
        <v>-6.3900074623336772E-2</v>
      </c>
      <c r="AG14" s="1">
        <v>-6.6085221960749008E-2</v>
      </c>
      <c r="AH14" s="1">
        <v>1.2766041963827249E-2</v>
      </c>
      <c r="AI14" s="1">
        <v>6.5621497357857231E-2</v>
      </c>
      <c r="AJ14" s="1">
        <v>2.8100963738832731E-2</v>
      </c>
      <c r="AK14" s="1">
        <v>-4.2882105835382427E-2</v>
      </c>
      <c r="AL14" s="1">
        <v>-2.8026418448592921E-2</v>
      </c>
      <c r="AM14" s="1">
        <v>-3.4059216796158008E-3</v>
      </c>
      <c r="AN14" s="1">
        <v>-3.7864511034898171E-2</v>
      </c>
      <c r="AO14" s="1">
        <v>-3.4604171326556672E-3</v>
      </c>
      <c r="AP14" s="1">
        <v>-2.2362588857415738E-2</v>
      </c>
      <c r="AQ14" s="1">
        <v>-4.3124427317327588E-2</v>
      </c>
      <c r="AR14" s="1">
        <v>-6.4907169708796689E-2</v>
      </c>
      <c r="AS14" s="1">
        <v>1.006408367259869E-2</v>
      </c>
      <c r="AT14" s="1">
        <v>5.634141011078548E-2</v>
      </c>
      <c r="AU14" s="1">
        <v>-3.8124213415728338E-2</v>
      </c>
      <c r="AV14" s="1">
        <v>3.9431732797164817E-2</v>
      </c>
      <c r="AW14" s="1">
        <v>3.636847552692174E-2</v>
      </c>
      <c r="AX14" s="1">
        <v>5.197170889952224E-3</v>
      </c>
      <c r="AY14" s="1">
        <v>-1.570208501220325E-2</v>
      </c>
      <c r="AZ14" s="1">
        <v>3.7512812410169162E-2</v>
      </c>
      <c r="BA14" s="1">
        <v>2.434080044211747E-2</v>
      </c>
      <c r="BB14" s="1">
        <v>6.7925386479422249E-3</v>
      </c>
      <c r="BC14" s="1">
        <v>1.991393138587913E-2</v>
      </c>
      <c r="BD14" s="1">
        <v>-3.0779254055112591E-2</v>
      </c>
      <c r="BE14" s="1">
        <v>-8.5339227032880147E-2</v>
      </c>
      <c r="BF14" s="1">
        <v>-4.7366920376471097E-2</v>
      </c>
      <c r="BG14" s="1">
        <v>1.068419847658858E-2</v>
      </c>
      <c r="BH14" s="1">
        <v>1.5320297778336531E-2</v>
      </c>
      <c r="BI14" s="1">
        <v>7.1105176324645192E-2</v>
      </c>
      <c r="BJ14" s="1">
        <v>-7.592056146923655E-2</v>
      </c>
      <c r="BK14" s="1">
        <v>-2.6245167109503691E-2</v>
      </c>
      <c r="BL14" s="1">
        <v>-1.4968307192597971E-2</v>
      </c>
      <c r="BM14" s="1">
        <v>5.8249741530491533E-2</v>
      </c>
      <c r="BN14" s="1">
        <v>7.5342747248439687E-2</v>
      </c>
      <c r="BO14" s="1">
        <v>-6.4052178479170926E-2</v>
      </c>
      <c r="BP14" s="1">
        <v>-7.7728832161354885E-2</v>
      </c>
      <c r="BQ14" s="1">
        <v>-3.4134246378517703E-2</v>
      </c>
      <c r="BR14" s="1">
        <v>4.5026190918430381E-2</v>
      </c>
      <c r="BS14" s="1">
        <v>-5.3767285643797458E-2</v>
      </c>
      <c r="BT14" s="1">
        <v>-2.4812044154790009E-2</v>
      </c>
      <c r="BU14" s="1">
        <v>2.0962102390437642E-3</v>
      </c>
      <c r="BV14" s="1">
        <v>1.9556403640745442E-3</v>
      </c>
      <c r="BW14" s="1">
        <v>2.3871795232352552E-2</v>
      </c>
      <c r="BX14" s="1">
        <v>6.1492581394468407E-2</v>
      </c>
      <c r="BY14" s="1">
        <v>-3.6762791312954533E-2</v>
      </c>
      <c r="BZ14" s="2">
        <v>0.1007449508678544</v>
      </c>
      <c r="CA14" s="2">
        <v>-9.8029438362877502E-2</v>
      </c>
      <c r="CB14" s="2">
        <v>-0.39524012294221678</v>
      </c>
      <c r="CC14" s="2">
        <v>0.34688918591047341</v>
      </c>
      <c r="CD14" s="2">
        <v>-0.1198095180278948</v>
      </c>
      <c r="CE14" s="1">
        <v>7.6131622020210996E-2</v>
      </c>
      <c r="CF14" s="1">
        <v>5.8650429741917413E-2</v>
      </c>
      <c r="CG14" s="1">
        <v>-4.2705371866007161E-2</v>
      </c>
      <c r="CH14" s="2">
        <v>0.54557426261311726</v>
      </c>
      <c r="CI14" s="2">
        <v>-0.47073075874822229</v>
      </c>
      <c r="CJ14" s="2">
        <v>0.14155622886521399</v>
      </c>
      <c r="CK14" s="1">
        <v>-4.613691357631261E-2</v>
      </c>
    </row>
    <row r="15" spans="1:89" x14ac:dyDescent="0.2">
      <c r="A15" s="10"/>
      <c r="B15" s="1" t="s">
        <v>18</v>
      </c>
      <c r="C15" s="1">
        <v>-1.2148563035793789E-2</v>
      </c>
      <c r="D15" s="1">
        <v>4.7598166687397282E-2</v>
      </c>
      <c r="E15" s="1">
        <v>9.5910022772904835E-2</v>
      </c>
      <c r="F15" s="1">
        <v>0.1123327350711298</v>
      </c>
      <c r="G15" s="1">
        <v>5.280824948910269E-2</v>
      </c>
      <c r="H15" s="1">
        <v>-6.0460316839911737E-2</v>
      </c>
      <c r="I15" s="1">
        <v>-7.9175778270250685E-2</v>
      </c>
      <c r="J15" s="1">
        <v>9.4696845699529159E-2</v>
      </c>
      <c r="K15" s="1">
        <v>-1.082738648720071E-2</v>
      </c>
      <c r="L15" s="1">
        <v>2.2491641719543602E-2</v>
      </c>
      <c r="M15" s="1">
        <v>2.6248245471790669E-2</v>
      </c>
      <c r="N15" s="1">
        <v>0.10296235664691571</v>
      </c>
      <c r="O15" s="1">
        <v>2.1764166528789129E-2</v>
      </c>
      <c r="P15" s="1">
        <v>4.5523718054880737E-2</v>
      </c>
      <c r="Q15" s="2">
        <v>0.1235304972502277</v>
      </c>
      <c r="R15" s="1">
        <v>7.5399224637658357E-2</v>
      </c>
      <c r="S15" s="1">
        <v>4.3475944967799732E-2</v>
      </c>
      <c r="T15" s="1">
        <v>2.2322970334195599E-3</v>
      </c>
      <c r="U15" s="1">
        <v>-8.5169595921553182E-2</v>
      </c>
      <c r="V15" s="1">
        <v>2.9446705967062139E-2</v>
      </c>
      <c r="W15" s="1">
        <v>5.8686471298372123E-2</v>
      </c>
      <c r="X15" s="1">
        <v>-3.7404153777273241E-2</v>
      </c>
      <c r="Y15" s="1">
        <v>-4.3681549948730407E-2</v>
      </c>
      <c r="Z15" s="2">
        <v>0.19296122876935051</v>
      </c>
      <c r="AA15" s="1">
        <v>-9.8846982637286918E-2</v>
      </c>
      <c r="AB15" s="1">
        <v>-0.10421779119103471</v>
      </c>
      <c r="AC15" s="1">
        <v>9.5689615245945214E-3</v>
      </c>
      <c r="AD15" s="1">
        <v>-1.1673775423698801E-2</v>
      </c>
      <c r="AE15" s="1">
        <v>7.2981349069945736E-3</v>
      </c>
      <c r="AF15" s="1">
        <v>0.1058472256980119</v>
      </c>
      <c r="AG15" s="1">
        <v>0.1110120415204069</v>
      </c>
      <c r="AH15" s="1">
        <v>5.1538315920896839E-4</v>
      </c>
      <c r="AI15" s="1">
        <v>-4.9642415237498509E-2</v>
      </c>
      <c r="AJ15" s="1">
        <v>5.9917730477055354E-3</v>
      </c>
      <c r="AK15" s="1">
        <v>2.199843504151185E-2</v>
      </c>
      <c r="AL15" s="1">
        <v>0.10701522541675799</v>
      </c>
      <c r="AM15" s="1">
        <v>-1.275365371734245E-2</v>
      </c>
      <c r="AN15" s="1">
        <v>-1.936254252420825E-2</v>
      </c>
      <c r="AO15" s="1">
        <v>9.1289305432085549E-3</v>
      </c>
      <c r="AP15" s="1">
        <v>-2.699466838288625E-2</v>
      </c>
      <c r="AQ15" s="1">
        <v>-5.2799073753115738E-2</v>
      </c>
      <c r="AR15" s="1">
        <v>6.6601751720123767E-2</v>
      </c>
      <c r="AS15" s="1">
        <v>2.6837348241175272E-4</v>
      </c>
      <c r="AT15" s="1">
        <v>-7.4886779135467652E-2</v>
      </c>
      <c r="AU15" s="1">
        <v>1.9922291814377671E-2</v>
      </c>
      <c r="AV15" s="1">
        <v>-3.9980622028383657E-2</v>
      </c>
      <c r="AW15" s="1">
        <v>2.250310333379732E-3</v>
      </c>
      <c r="AX15" s="1">
        <v>-9.0315302042517143E-2</v>
      </c>
      <c r="AY15" s="1">
        <v>1.6951219362252131E-2</v>
      </c>
      <c r="AZ15" s="1">
        <v>7.7258120453788326E-2</v>
      </c>
      <c r="BA15" s="1">
        <v>2.8909611251998191E-2</v>
      </c>
      <c r="BB15" s="1">
        <v>1.6158520146065902E-2</v>
      </c>
      <c r="BC15" s="1">
        <v>-5.6822047764956543E-2</v>
      </c>
      <c r="BD15" s="1">
        <v>1.362834220195319E-2</v>
      </c>
      <c r="BE15" s="1">
        <v>-3.7662260118498013E-2</v>
      </c>
      <c r="BF15" s="1">
        <v>-0.10418500822305581</v>
      </c>
      <c r="BG15" s="1">
        <v>-7.6818707485893978E-2</v>
      </c>
      <c r="BH15" s="1">
        <v>-4.8353348768126567E-2</v>
      </c>
      <c r="BI15" s="1">
        <v>-8.175036707479498E-2</v>
      </c>
      <c r="BJ15" s="1">
        <v>-0.10529918497290559</v>
      </c>
      <c r="BK15" s="1">
        <v>8.6015698296436405E-2</v>
      </c>
      <c r="BL15" s="1">
        <v>-6.6596305620204341E-2</v>
      </c>
      <c r="BM15" s="1">
        <v>-2.109672675800419E-2</v>
      </c>
      <c r="BN15" s="1">
        <v>-9.8796086703142855E-2</v>
      </c>
      <c r="BO15" s="1">
        <v>-0.1205121896415169</v>
      </c>
      <c r="BP15" s="1">
        <v>2.5951963704785939E-2</v>
      </c>
      <c r="BQ15" s="1">
        <v>-8.2444885809540482E-3</v>
      </c>
      <c r="BR15" s="1">
        <v>-4.2787566002826259E-2</v>
      </c>
      <c r="BS15" s="1">
        <v>5.0154068541051873E-2</v>
      </c>
      <c r="BT15" s="1">
        <v>4.713891753032598E-2</v>
      </c>
      <c r="BU15" s="1">
        <v>-4.0713194780311733E-2</v>
      </c>
      <c r="BV15" s="1">
        <v>1.9193573840331091E-2</v>
      </c>
      <c r="BW15" s="1">
        <v>-2.873551518518231E-2</v>
      </c>
      <c r="BX15" s="1">
        <v>-1.0300111311215341E-2</v>
      </c>
      <c r="BY15" s="1">
        <v>-4.7089332842293171E-4</v>
      </c>
      <c r="BZ15" s="2">
        <v>0.34816547445322021</v>
      </c>
      <c r="CA15" s="2">
        <v>-0.32507082998292341</v>
      </c>
      <c r="CB15" s="2">
        <v>-0.34417219319098058</v>
      </c>
      <c r="CC15" s="2">
        <v>0.28518994755421062</v>
      </c>
      <c r="CD15" s="1">
        <v>-1.9040397708374061E-2</v>
      </c>
      <c r="CE15" s="1">
        <v>-3.3238212956408893E-2</v>
      </c>
      <c r="CF15" s="2">
        <v>0.27177740888026358</v>
      </c>
      <c r="CG15" s="2">
        <v>-0.22475727968953341</v>
      </c>
      <c r="CH15" s="2">
        <v>-0.28073015347035501</v>
      </c>
      <c r="CI15" s="2">
        <v>0.22800369896511041</v>
      </c>
      <c r="CJ15" s="1">
        <v>4.3693280492628918E-2</v>
      </c>
      <c r="CK15" s="1">
        <v>-1.8924703813033079E-2</v>
      </c>
    </row>
    <row r="16" spans="1:89" x14ac:dyDescent="0.2">
      <c r="A16" s="10"/>
      <c r="B16" s="1" t="s">
        <v>19</v>
      </c>
      <c r="C16" s="1">
        <v>0.12824362600190989</v>
      </c>
      <c r="D16" s="1">
        <v>9.9868814099931154E-3</v>
      </c>
      <c r="E16" s="1">
        <v>9.3203812244627149E-3</v>
      </c>
      <c r="F16" s="1">
        <v>9.3979088758498627E-2</v>
      </c>
      <c r="G16" s="1">
        <v>-3.9734722463363542E-2</v>
      </c>
      <c r="H16" s="1">
        <v>-9.0065186902017702E-2</v>
      </c>
      <c r="I16" s="1">
        <v>2.798935931857242E-2</v>
      </c>
      <c r="J16" s="1">
        <v>4.4542301271040419E-2</v>
      </c>
      <c r="K16" s="1">
        <v>-5.2078513119995333E-2</v>
      </c>
      <c r="L16" s="1">
        <v>3.5188049329307747E-2</v>
      </c>
      <c r="M16" s="1">
        <v>9.1074432587906012E-2</v>
      </c>
      <c r="N16" s="1">
        <v>7.180557903703684E-2</v>
      </c>
      <c r="O16" s="1">
        <v>-6.7955195387699147E-2</v>
      </c>
      <c r="P16" s="1">
        <v>4.5445896061209801E-2</v>
      </c>
      <c r="Q16" s="1">
        <v>7.4592119788012737E-2</v>
      </c>
      <c r="R16" s="1">
        <v>-7.5303526184128167E-2</v>
      </c>
      <c r="S16" s="1">
        <v>-1.572752794053428E-2</v>
      </c>
      <c r="T16" s="1">
        <v>2.5528246412041149E-2</v>
      </c>
      <c r="U16" s="1">
        <v>-0.1023923948588935</v>
      </c>
      <c r="V16" s="1">
        <v>-3.8879398827291578E-2</v>
      </c>
      <c r="W16" s="1">
        <v>-2.509298019917466E-2</v>
      </c>
      <c r="X16" s="1">
        <v>8.7154451565917782E-3</v>
      </c>
      <c r="Y16" s="1">
        <v>-2.180046144325043E-3</v>
      </c>
      <c r="Z16" s="1">
        <v>9.1972593680751391E-3</v>
      </c>
      <c r="AA16" s="1">
        <v>-9.3198941563334442E-2</v>
      </c>
      <c r="AB16" s="1">
        <v>-7.8273575346153312E-2</v>
      </c>
      <c r="AC16" s="1">
        <v>-2.985217154647973E-2</v>
      </c>
      <c r="AD16" s="1">
        <v>-3.3060865972375342E-2</v>
      </c>
      <c r="AE16" s="1">
        <v>-0.1002771480194065</v>
      </c>
      <c r="AF16" s="1">
        <v>-8.3514264755921191E-2</v>
      </c>
      <c r="AG16" s="1">
        <v>-4.7802570622680812E-2</v>
      </c>
      <c r="AH16" s="1">
        <v>5.2105984617459786E-3</v>
      </c>
      <c r="AI16" s="1">
        <v>-0.102863302757584</v>
      </c>
      <c r="AJ16" s="1">
        <v>-3.6498231598270238E-2</v>
      </c>
      <c r="AK16" s="1">
        <v>-1.0863067389727581E-2</v>
      </c>
      <c r="AL16" s="1">
        <v>1.2928435347204051E-2</v>
      </c>
      <c r="AM16" s="1">
        <v>-9.388724704301318E-3</v>
      </c>
      <c r="AN16" s="2">
        <v>0.1432852698899014</v>
      </c>
      <c r="AO16" s="1">
        <v>3.514236901738349E-2</v>
      </c>
      <c r="AP16" s="1">
        <v>-1.5725836361499441E-2</v>
      </c>
      <c r="AQ16" s="1">
        <v>1.0220606372718681E-2</v>
      </c>
      <c r="AR16" s="1">
        <v>7.5525872566736697E-3</v>
      </c>
      <c r="AS16" s="1">
        <v>5.6439336160850739E-3</v>
      </c>
      <c r="AT16" s="1">
        <v>2.3529199251099251E-3</v>
      </c>
      <c r="AU16" s="1">
        <v>-2.7034760606503162E-2</v>
      </c>
      <c r="AV16" s="1">
        <v>-6.6303952720338051E-3</v>
      </c>
      <c r="AW16" s="1">
        <v>3.0244236889415748E-3</v>
      </c>
      <c r="AX16" s="2">
        <v>-0.15549837009046771</v>
      </c>
      <c r="AY16" s="1">
        <v>5.4608457440111597E-3</v>
      </c>
      <c r="AZ16" s="1">
        <v>5.3485848203766367E-2</v>
      </c>
      <c r="BA16" s="1">
        <v>1.4781590411487119E-2</v>
      </c>
      <c r="BB16" s="1">
        <v>-8.0578546037344101E-2</v>
      </c>
      <c r="BC16" s="1">
        <v>-6.7056870020733267E-2</v>
      </c>
      <c r="BD16" s="1">
        <v>8.6191617756441019E-2</v>
      </c>
      <c r="BE16" s="1">
        <v>1.6252435134163121E-2</v>
      </c>
      <c r="BF16" s="1">
        <v>-5.0447382351342931E-3</v>
      </c>
      <c r="BG16" s="1">
        <v>-0.1223363701572282</v>
      </c>
      <c r="BH16" s="1">
        <v>-8.0170351191542449E-2</v>
      </c>
      <c r="BI16" s="1">
        <v>-0.1014342953495711</v>
      </c>
      <c r="BJ16" s="1">
        <v>8.3661388730377467E-3</v>
      </c>
      <c r="BK16" s="1">
        <v>0.10561172963141829</v>
      </c>
      <c r="BL16" s="1">
        <v>-2.3795487001903232E-2</v>
      </c>
      <c r="BM16" s="1">
        <v>-4.0715745686423548E-2</v>
      </c>
      <c r="BN16" s="1">
        <v>-6.9588357400145295E-2</v>
      </c>
      <c r="BO16" s="1">
        <v>1.2538145395619409E-2</v>
      </c>
      <c r="BP16" s="1">
        <v>-1.752537880051281E-2</v>
      </c>
      <c r="BQ16" s="1">
        <v>3.6856893498656527E-2</v>
      </c>
      <c r="BR16" s="1">
        <v>6.3996648247696773E-3</v>
      </c>
      <c r="BS16" s="1">
        <v>-1.3640050370500241E-2</v>
      </c>
      <c r="BT16" s="1">
        <v>-3.9398415370749132E-2</v>
      </c>
      <c r="BU16" s="1">
        <v>5.886279892058454E-2</v>
      </c>
      <c r="BV16" s="1">
        <v>-3.4502994149764127E-2</v>
      </c>
      <c r="BW16" s="1">
        <v>4.1309877106298822E-3</v>
      </c>
      <c r="BX16" s="1">
        <v>-7.0920118292724765E-2</v>
      </c>
      <c r="BY16" s="1">
        <v>1.8743738544292149E-2</v>
      </c>
      <c r="BZ16" s="2">
        <v>-0.18597490413138079</v>
      </c>
      <c r="CA16" s="2">
        <v>0.14973630318269671</v>
      </c>
      <c r="CB16" s="2">
        <v>-0.23490264911592471</v>
      </c>
      <c r="CC16" s="2">
        <v>0.18283578688084701</v>
      </c>
      <c r="CD16" s="2">
        <v>0.57209889517796397</v>
      </c>
      <c r="CE16" s="2">
        <v>-0.40606912469076378</v>
      </c>
      <c r="CF16" s="2">
        <v>-0.2117864292035444</v>
      </c>
      <c r="CG16" s="1">
        <v>0.14249716975038171</v>
      </c>
      <c r="CH16" s="1">
        <v>4.7195802699595113E-2</v>
      </c>
      <c r="CI16" s="1">
        <v>-4.3547940282088658E-2</v>
      </c>
      <c r="CJ16" s="2">
        <v>-0.14999416711561889</v>
      </c>
      <c r="CK16" s="1">
        <v>4.9352305344913618E-2</v>
      </c>
    </row>
    <row r="17" spans="1:89" x14ac:dyDescent="0.2">
      <c r="A17" s="10"/>
      <c r="B17" s="1" t="s">
        <v>20</v>
      </c>
      <c r="C17" s="2">
        <v>0.2128823610900234</v>
      </c>
      <c r="D17" s="1">
        <v>5.8691868443062442E-2</v>
      </c>
      <c r="E17" s="1">
        <v>8.1280362110239604E-2</v>
      </c>
      <c r="F17" s="1">
        <v>0.12720159860717381</v>
      </c>
      <c r="G17" s="1">
        <v>5.0461068783174523E-2</v>
      </c>
      <c r="H17" s="1">
        <v>-1.3837219012371031E-2</v>
      </c>
      <c r="I17" s="1">
        <v>0.1041355598242527</v>
      </c>
      <c r="J17" s="1">
        <v>0.15303574890281629</v>
      </c>
      <c r="K17" s="1">
        <v>-6.4472190382074857E-2</v>
      </c>
      <c r="L17" s="1">
        <v>8.644182543981617E-2</v>
      </c>
      <c r="M17" s="1">
        <v>5.5565506728056047E-2</v>
      </c>
      <c r="N17" s="1">
        <v>5.4369757688223892E-2</v>
      </c>
      <c r="O17" s="1">
        <v>-7.0420832727199428E-2</v>
      </c>
      <c r="P17" s="1">
        <v>0.14570937127042469</v>
      </c>
      <c r="Q17" s="2">
        <v>0.15592595960437969</v>
      </c>
      <c r="R17" s="2">
        <v>0.16405390553748619</v>
      </c>
      <c r="S17" s="1">
        <v>8.1896302796143641E-2</v>
      </c>
      <c r="T17" s="1">
        <v>4.7066631608830463E-2</v>
      </c>
      <c r="U17" s="1">
        <v>-0.14609438641094799</v>
      </c>
      <c r="V17" s="1">
        <v>0.12304459122656521</v>
      </c>
      <c r="W17" s="1">
        <v>7.3077724292338497E-2</v>
      </c>
      <c r="X17" s="1">
        <v>1.8328181659405179E-2</v>
      </c>
      <c r="Y17" s="1">
        <v>7.8240765263895173E-2</v>
      </c>
      <c r="Z17" s="1">
        <v>0.10099474188593741</v>
      </c>
      <c r="AA17" s="1">
        <v>-0.13442102582703369</v>
      </c>
      <c r="AB17" s="1">
        <v>3.4200402441213612E-2</v>
      </c>
      <c r="AC17" s="1">
        <v>-2.131750815688796E-2</v>
      </c>
      <c r="AD17" s="1">
        <v>-3.8031070030009662E-2</v>
      </c>
      <c r="AE17" s="1">
        <v>-3.1298301627956382E-2</v>
      </c>
      <c r="AF17" s="1">
        <v>-0.1033410873184199</v>
      </c>
      <c r="AG17" s="1">
        <v>-3.8635133930178492E-2</v>
      </c>
      <c r="AH17" s="1">
        <v>-3.0533607032716469E-2</v>
      </c>
      <c r="AI17" s="1">
        <v>-0.1034117775362782</v>
      </c>
      <c r="AJ17" s="1">
        <v>-5.2302765325501099E-2</v>
      </c>
      <c r="AK17" s="1">
        <v>2.595919350222092E-2</v>
      </c>
      <c r="AL17" s="1">
        <v>0.1466900703103543</v>
      </c>
      <c r="AM17" s="1">
        <v>0.1370714042848957</v>
      </c>
      <c r="AN17" s="2">
        <v>0.16963965566343381</v>
      </c>
      <c r="AO17" s="1">
        <v>-0.1050532045076279</v>
      </c>
      <c r="AP17" s="1">
        <v>7.9016616508739548E-2</v>
      </c>
      <c r="AQ17" s="1">
        <v>-7.3249442317274552E-2</v>
      </c>
      <c r="AR17" s="1">
        <v>9.068402555447283E-2</v>
      </c>
      <c r="AS17" s="1">
        <v>7.4490218048383497E-3</v>
      </c>
      <c r="AT17" s="1">
        <v>8.7639948022692482E-3</v>
      </c>
      <c r="AU17" s="1">
        <v>-8.8777072951733343E-2</v>
      </c>
      <c r="AV17" s="1">
        <v>-2.2978853034134859E-2</v>
      </c>
      <c r="AW17" s="1">
        <v>-1.5494119429501071E-2</v>
      </c>
      <c r="AX17" s="1">
        <v>-6.4090998114391284E-2</v>
      </c>
      <c r="AY17" s="1">
        <v>-3.5912047868603768E-2</v>
      </c>
      <c r="AZ17" s="1">
        <v>3.5290670701218128E-2</v>
      </c>
      <c r="BA17" s="1">
        <v>-0.12692779906209639</v>
      </c>
      <c r="BB17" s="1">
        <v>-0.1139852255320359</v>
      </c>
      <c r="BC17" s="1">
        <v>-8.9227964071086824E-2</v>
      </c>
      <c r="BD17" s="1">
        <v>-4.9224172220117698E-2</v>
      </c>
      <c r="BE17" s="1">
        <v>2.167345673751628E-3</v>
      </c>
      <c r="BF17" s="1">
        <v>3.4716004275404728E-2</v>
      </c>
      <c r="BG17" s="2">
        <v>0.26835367036734292</v>
      </c>
      <c r="BH17" s="2">
        <v>0.26385664746714649</v>
      </c>
      <c r="BI17" s="2">
        <v>0.34441080654425588</v>
      </c>
      <c r="BJ17" s="1">
        <v>8.3572659022421683E-2</v>
      </c>
      <c r="BK17" s="2">
        <v>0.2013044135780212</v>
      </c>
      <c r="BL17" s="1">
        <v>-2.813925259871327E-2</v>
      </c>
      <c r="BM17" s="1">
        <v>-3.714231719502032E-2</v>
      </c>
      <c r="BN17" s="1">
        <v>-0.11595734125652581</v>
      </c>
      <c r="BO17" s="1">
        <v>6.3649825988938438E-2</v>
      </c>
      <c r="BP17" s="1">
        <v>-7.2502370059864367E-3</v>
      </c>
      <c r="BQ17" s="1">
        <v>5.7323764380547169E-2</v>
      </c>
      <c r="BR17" s="1">
        <v>7.6728617166081065E-2</v>
      </c>
      <c r="BS17" s="1">
        <v>-9.5787383572432161E-2</v>
      </c>
      <c r="BT17" s="1">
        <v>6.9223666522152727E-2</v>
      </c>
      <c r="BU17" s="1">
        <v>-7.2930290114209692E-2</v>
      </c>
      <c r="BV17" s="1">
        <v>0.10285610219830001</v>
      </c>
      <c r="BW17" s="1">
        <v>-8.3469307247692567E-2</v>
      </c>
      <c r="BX17" s="1">
        <v>7.9185270835217675E-3</v>
      </c>
      <c r="BY17" s="1">
        <v>-6.5430950254611814E-3</v>
      </c>
      <c r="BZ17" s="1">
        <v>2.985048174656221E-2</v>
      </c>
      <c r="CA17" s="1">
        <v>-1.2887731943350231E-2</v>
      </c>
      <c r="CB17" s="1">
        <v>2.717879742957522E-2</v>
      </c>
      <c r="CC17" s="1">
        <v>-2.8714100595966682E-2</v>
      </c>
      <c r="CD17" s="2">
        <v>-0.18507266967917821</v>
      </c>
      <c r="CE17" s="1">
        <v>0.12889760933020369</v>
      </c>
      <c r="CF17" s="1">
        <v>-7.7888515316514279E-2</v>
      </c>
      <c r="CG17" s="1">
        <v>6.2182874763123543E-2</v>
      </c>
      <c r="CH17" s="1">
        <v>8.4113027877271193E-2</v>
      </c>
      <c r="CI17" s="1">
        <v>-7.2794684329989465E-2</v>
      </c>
      <c r="CJ17" s="2">
        <v>-0.25759148386706993</v>
      </c>
      <c r="CK17" s="1">
        <v>8.8382785808902228E-2</v>
      </c>
    </row>
    <row r="18" spans="1:89" x14ac:dyDescent="0.2">
      <c r="A18" s="10"/>
      <c r="B18" s="1" t="s">
        <v>21</v>
      </c>
      <c r="C18" s="1">
        <v>-6.2957114776175091E-2</v>
      </c>
      <c r="D18" s="1">
        <v>5.6810521937716553E-2</v>
      </c>
      <c r="E18" s="1">
        <v>4.3457830853791651E-2</v>
      </c>
      <c r="F18" s="1">
        <v>2.152791199855135E-2</v>
      </c>
      <c r="G18" s="1">
        <v>2.5283325762313229E-2</v>
      </c>
      <c r="H18" s="1">
        <v>-0.1244491350443063</v>
      </c>
      <c r="I18" s="1">
        <v>1.858999259732862E-2</v>
      </c>
      <c r="J18" s="1">
        <v>-5.6867293588225523E-2</v>
      </c>
      <c r="K18" s="1">
        <v>1.0841761525331661E-3</v>
      </c>
      <c r="L18" s="1">
        <v>-1.2990302026501069E-2</v>
      </c>
      <c r="M18" s="1">
        <v>1.970501305880162E-2</v>
      </c>
      <c r="N18" s="1">
        <v>-1.2318680520436489E-2</v>
      </c>
      <c r="O18" s="1">
        <v>2.007199195727969E-2</v>
      </c>
      <c r="P18" s="1">
        <v>-1.1218225285795649E-2</v>
      </c>
      <c r="Q18" s="1">
        <v>-9.2250747974870817E-2</v>
      </c>
      <c r="R18" s="1">
        <v>-7.1978843320074329E-2</v>
      </c>
      <c r="S18" s="1">
        <v>2.174531953611995E-2</v>
      </c>
      <c r="T18" s="1">
        <v>-4.4630453954001108E-2</v>
      </c>
      <c r="U18" s="1">
        <v>2.7812451732082171E-2</v>
      </c>
      <c r="V18" s="1">
        <v>-1.5346157807005181E-2</v>
      </c>
      <c r="W18" s="1">
        <v>2.1912557696525239E-2</v>
      </c>
      <c r="X18" s="1">
        <v>3.1407026711208319E-2</v>
      </c>
      <c r="Y18" s="1">
        <v>2.680264126821312E-2</v>
      </c>
      <c r="Z18" s="1">
        <v>3.4577596017458252E-2</v>
      </c>
      <c r="AA18" s="1">
        <v>9.4640830555397154E-2</v>
      </c>
      <c r="AB18" s="1">
        <v>0.13044590476305359</v>
      </c>
      <c r="AC18" s="1">
        <v>2.2773643755632001E-2</v>
      </c>
      <c r="AD18" s="1">
        <v>-3.3472850981445992E-2</v>
      </c>
      <c r="AE18" s="1">
        <v>-8.1186614043389116E-2</v>
      </c>
      <c r="AF18" s="1">
        <v>-3.4628008603219129E-3</v>
      </c>
      <c r="AG18" s="1">
        <v>-6.5814572836968233E-2</v>
      </c>
      <c r="AH18" s="1">
        <v>-3.892561217586243E-3</v>
      </c>
      <c r="AI18" s="1">
        <v>6.9540912204529792E-2</v>
      </c>
      <c r="AJ18" s="1">
        <v>4.0857193777684493E-2</v>
      </c>
      <c r="AK18" s="1">
        <v>1.374172044156247E-2</v>
      </c>
      <c r="AL18" s="1">
        <v>1.451939503066643E-2</v>
      </c>
      <c r="AM18" s="1">
        <v>6.6922776179099502E-2</v>
      </c>
      <c r="AN18" s="1">
        <v>-3.21982343745459E-3</v>
      </c>
      <c r="AO18" s="1">
        <v>-6.6813746632464033E-2</v>
      </c>
      <c r="AP18" s="1">
        <v>4.3583547936035943E-2</v>
      </c>
      <c r="AQ18" s="1">
        <v>-6.7247715811108472E-2</v>
      </c>
      <c r="AR18" s="1">
        <v>1.276851870188991E-2</v>
      </c>
      <c r="AS18" s="1">
        <v>2.6728369680052089E-2</v>
      </c>
      <c r="AT18" s="1">
        <v>2.645759460890992E-2</v>
      </c>
      <c r="AU18" s="1">
        <v>-4.3289752434275873E-2</v>
      </c>
      <c r="AV18" s="1">
        <v>4.2909258478861068E-2</v>
      </c>
      <c r="AW18" s="1">
        <v>5.1926159172884567E-2</v>
      </c>
      <c r="AX18" s="1">
        <v>-6.4389160119751963E-3</v>
      </c>
      <c r="AY18" s="1">
        <v>6.0388472964391433E-2</v>
      </c>
      <c r="AZ18" s="2">
        <v>-0.18065574824033689</v>
      </c>
      <c r="BA18" s="1">
        <v>-5.9062833382913973E-2</v>
      </c>
      <c r="BB18" s="1">
        <v>9.9101827883038049E-2</v>
      </c>
      <c r="BC18" s="1">
        <v>3.552325856833757E-3</v>
      </c>
      <c r="BD18" s="2">
        <v>-0.14881460963617191</v>
      </c>
      <c r="BE18" s="1">
        <v>-7.6276842456065239E-2</v>
      </c>
      <c r="BF18" s="1">
        <v>2.852139595582508E-2</v>
      </c>
      <c r="BG18" s="1">
        <v>0.1118080420328267</v>
      </c>
      <c r="BH18" s="1">
        <v>0.10444746789454459</v>
      </c>
      <c r="BI18" s="2">
        <v>0.2121691075699631</v>
      </c>
      <c r="BJ18" s="1">
        <v>-1.877375965023971E-2</v>
      </c>
      <c r="BK18" s="1">
        <v>-0.1080471525363178</v>
      </c>
      <c r="BL18" s="1">
        <v>-8.4567375146529539E-2</v>
      </c>
      <c r="BM18" s="2">
        <v>0.1789337089970893</v>
      </c>
      <c r="BN18" s="2">
        <v>0.1355969737533248</v>
      </c>
      <c r="BO18" s="1">
        <v>-2.5696954663566841E-2</v>
      </c>
      <c r="BP18" s="1">
        <v>-6.7645181847767716E-2</v>
      </c>
      <c r="BQ18" s="1">
        <v>1.406462197430725E-3</v>
      </c>
      <c r="BR18" s="1">
        <v>8.6227894931588833E-2</v>
      </c>
      <c r="BS18" s="1">
        <v>-9.7264325584431155E-2</v>
      </c>
      <c r="BT18" s="1">
        <v>0.1341009586891912</v>
      </c>
      <c r="BU18" s="1">
        <v>-0.1073324086122012</v>
      </c>
      <c r="BV18" s="1">
        <v>-3.738208509611958E-2</v>
      </c>
      <c r="BW18" s="1">
        <v>2.3689449796497879E-2</v>
      </c>
      <c r="BX18" s="1">
        <v>6.7915357531187992E-2</v>
      </c>
      <c r="BY18" s="1">
        <v>-7.8287253336581358E-3</v>
      </c>
      <c r="BZ18" s="2">
        <v>-0.3310128736275787</v>
      </c>
      <c r="CA18" s="2">
        <v>0.31557703826687999</v>
      </c>
      <c r="CB18" s="1">
        <v>-0.1048606538899738</v>
      </c>
      <c r="CC18" s="1">
        <v>0.117519990415102</v>
      </c>
      <c r="CD18" s="2">
        <v>0.13897512998123379</v>
      </c>
      <c r="CE18" s="1">
        <v>-7.6973458341800638E-2</v>
      </c>
      <c r="CF18" s="2">
        <v>0.44009129405156822</v>
      </c>
      <c r="CG18" s="2">
        <v>-0.32339073026996812</v>
      </c>
      <c r="CH18" s="1">
        <v>-0.13231793344242579</v>
      </c>
      <c r="CI18" s="1">
        <v>0.11121527092335801</v>
      </c>
      <c r="CJ18" s="1">
        <v>-0.12729433283872249</v>
      </c>
      <c r="CK18" s="1">
        <v>4.3438792502212963E-2</v>
      </c>
    </row>
    <row r="19" spans="1:89" x14ac:dyDescent="0.2">
      <c r="A19" s="10"/>
      <c r="B19" s="1" t="s">
        <v>22</v>
      </c>
      <c r="C19" s="2">
        <v>-0.17285632409016999</v>
      </c>
      <c r="D19" s="1">
        <v>-2.9065880850551239E-2</v>
      </c>
      <c r="E19" s="1">
        <v>-9.6256155389909809E-3</v>
      </c>
      <c r="F19" s="1">
        <v>-6.2894764987643195E-2</v>
      </c>
      <c r="G19" s="1">
        <v>-1.9321385679771371E-2</v>
      </c>
      <c r="H19" s="1">
        <v>-4.2441124765231597E-2</v>
      </c>
      <c r="I19" s="2">
        <v>0.1604853410728532</v>
      </c>
      <c r="J19" s="1">
        <v>-1.8399754261721048E-2</v>
      </c>
      <c r="K19" s="1">
        <v>2.3913526771427722E-3</v>
      </c>
      <c r="L19" s="1">
        <v>-1.331735628665404E-2</v>
      </c>
      <c r="M19" s="2">
        <v>-0.18575674319709179</v>
      </c>
      <c r="N19" s="1">
        <v>3.3068690422954461E-2</v>
      </c>
      <c r="O19" s="1">
        <v>1.647209888024093E-2</v>
      </c>
      <c r="P19" s="1">
        <v>-7.1809490795050793E-2</v>
      </c>
      <c r="Q19" s="1">
        <v>-5.9750181342456347E-2</v>
      </c>
      <c r="R19" s="1">
        <v>-6.6751697995639819E-2</v>
      </c>
      <c r="S19" s="1">
        <v>-1.477989391579726E-2</v>
      </c>
      <c r="T19" s="1">
        <v>4.577050332757078E-4</v>
      </c>
      <c r="U19" s="1">
        <v>4.3294696935947792E-2</v>
      </c>
      <c r="V19" s="1">
        <v>4.8367190556215578E-2</v>
      </c>
      <c r="W19" s="1">
        <v>-7.249456080604344E-3</v>
      </c>
      <c r="X19" s="1">
        <v>2.782416294257023E-2</v>
      </c>
      <c r="Y19" s="1">
        <v>-9.2632585011707541E-3</v>
      </c>
      <c r="Z19" s="1">
        <v>-5.7943384466495607E-2</v>
      </c>
      <c r="AA19" s="1">
        <v>6.5185383886042725E-2</v>
      </c>
      <c r="AB19" s="1">
        <v>6.2868756088941907E-2</v>
      </c>
      <c r="AC19" s="1">
        <v>-3.6094826599536362E-2</v>
      </c>
      <c r="AD19" s="1">
        <v>-3.5012265020519913E-2</v>
      </c>
      <c r="AE19" s="1">
        <v>-2.149562289759083E-2</v>
      </c>
      <c r="AF19" s="1">
        <v>-6.0884433583489113E-2</v>
      </c>
      <c r="AG19" s="1">
        <v>-5.1681597057171388E-2</v>
      </c>
      <c r="AH19" s="1">
        <v>-1.7757240614029331E-2</v>
      </c>
      <c r="AI19" s="1">
        <v>6.6962745131244061E-2</v>
      </c>
      <c r="AJ19" s="1">
        <v>0.1251276773025343</v>
      </c>
      <c r="AK19" s="1">
        <v>5.8303125423827651E-2</v>
      </c>
      <c r="AL19" s="1">
        <v>4.7795783565046428E-2</v>
      </c>
      <c r="AM19" s="1">
        <v>2.0032639856706891E-3</v>
      </c>
      <c r="AN19" s="1">
        <v>-7.8651314992686586E-2</v>
      </c>
      <c r="AO19" s="1">
        <v>-1.6172282010272241E-2</v>
      </c>
      <c r="AP19" s="1">
        <v>-2.2736614709908339E-2</v>
      </c>
      <c r="AQ19" s="1">
        <v>-9.5497555477827956E-2</v>
      </c>
      <c r="AR19" s="1">
        <v>3.602047659750951E-2</v>
      </c>
      <c r="AS19" s="1">
        <v>-7.7459166094123854E-3</v>
      </c>
      <c r="AT19" s="1">
        <v>2.3987718872996899E-2</v>
      </c>
      <c r="AU19" s="1">
        <v>7.9302749819157511E-2</v>
      </c>
      <c r="AV19" s="1">
        <v>6.216457300845047E-2</v>
      </c>
      <c r="AW19" s="1">
        <v>6.0733436498878468E-2</v>
      </c>
      <c r="AX19" s="1">
        <v>-5.2390871093673172E-3</v>
      </c>
      <c r="AY19" s="1">
        <v>-0.1105146541722703</v>
      </c>
      <c r="AZ19" s="2">
        <v>-0.29485262450780458</v>
      </c>
      <c r="BA19" s="1">
        <v>5.2819277174233251E-2</v>
      </c>
      <c r="BB19" s="2">
        <v>0.1516031015140101</v>
      </c>
      <c r="BC19" s="1">
        <v>4.7853995017455957E-2</v>
      </c>
      <c r="BD19" s="1">
        <v>-8.987121178944199E-2</v>
      </c>
      <c r="BE19" s="1">
        <v>6.767679508287272E-2</v>
      </c>
      <c r="BF19" s="1">
        <v>8.4139228429679899E-2</v>
      </c>
      <c r="BG19" s="1">
        <v>0.1061939899721724</v>
      </c>
      <c r="BH19" s="1">
        <v>8.0335480928954567E-2</v>
      </c>
      <c r="BI19" s="1">
        <v>0.1103653785489823</v>
      </c>
      <c r="BJ19" s="1">
        <v>0.1050072031283326</v>
      </c>
      <c r="BK19" s="1">
        <v>-7.8617034156597154E-2</v>
      </c>
      <c r="BL19" s="1">
        <v>-1.8544471748988919E-2</v>
      </c>
      <c r="BM19" s="1">
        <v>0.10319188671816799</v>
      </c>
      <c r="BN19" s="1">
        <v>0.1036777226881466</v>
      </c>
      <c r="BO19" s="1">
        <v>7.0225355556438829E-2</v>
      </c>
      <c r="BP19" s="1">
        <v>-7.0393664824694988E-2</v>
      </c>
      <c r="BQ19" s="1">
        <v>1.450762682280372E-2</v>
      </c>
      <c r="BR19" s="1">
        <v>3.5073255134359563E-2</v>
      </c>
      <c r="BS19" s="1">
        <v>-5.1374567268699753E-2</v>
      </c>
      <c r="BT19" s="1">
        <v>-2.1418850273920501E-3</v>
      </c>
      <c r="BU19" s="1">
        <v>-1.9952576732290769E-3</v>
      </c>
      <c r="BV19" s="1">
        <v>-7.7925464166276562E-2</v>
      </c>
      <c r="BW19" s="1">
        <v>7.2821189886090376E-2</v>
      </c>
      <c r="BX19" s="1">
        <v>-6.6345112271610204E-2</v>
      </c>
      <c r="BY19" s="1">
        <v>2.6519964016237529E-2</v>
      </c>
      <c r="BZ19" s="2">
        <v>0.41289476171721401</v>
      </c>
      <c r="CA19" s="2">
        <v>-0.37240585237577262</v>
      </c>
      <c r="CB19" s="1">
        <v>6.3603779704101221E-2</v>
      </c>
      <c r="CC19" s="1">
        <v>-6.5282354397711906E-2</v>
      </c>
      <c r="CD19" s="2">
        <v>0.247595444190641</v>
      </c>
      <c r="CE19" s="2">
        <v>-0.19524260906958171</v>
      </c>
      <c r="CF19" s="1">
        <v>-8.2679534643161343E-2</v>
      </c>
      <c r="CG19" s="1">
        <v>6.2450386941763192E-2</v>
      </c>
      <c r="CH19" s="1">
        <v>1.237711083414217E-2</v>
      </c>
      <c r="CI19" s="1">
        <v>4.4766809845841193E-3</v>
      </c>
      <c r="CJ19" s="2">
        <v>-0.33686859993371121</v>
      </c>
      <c r="CK19" s="1">
        <v>0.12595299245213909</v>
      </c>
    </row>
    <row r="21" spans="1:89" x14ac:dyDescent="0.2">
      <c r="A21" s="10" t="s">
        <v>8</v>
      </c>
      <c r="B21" s="1" t="s">
        <v>0</v>
      </c>
      <c r="C21" s="1">
        <v>-1.69988524725979E-2</v>
      </c>
      <c r="D21" s="1">
        <v>-7.4209535498211118E-2</v>
      </c>
      <c r="E21" s="1">
        <v>-4.9147850478421962E-2</v>
      </c>
      <c r="F21" s="1">
        <v>-9.860891305896391E-2</v>
      </c>
      <c r="G21" s="2">
        <v>-0.13718651476136121</v>
      </c>
      <c r="H21" s="1">
        <v>-0.11303055502647689</v>
      </c>
      <c r="I21" s="1">
        <v>-7.4869801121085003E-2</v>
      </c>
      <c r="J21" s="1">
        <v>-9.4225567268775443E-2</v>
      </c>
      <c r="K21" s="1">
        <v>-6.838515716645846E-2</v>
      </c>
      <c r="L21" s="1">
        <v>6.0660294814917942E-2</v>
      </c>
      <c r="M21" s="1">
        <v>-9.8120217909119289E-2</v>
      </c>
      <c r="N21" s="1">
        <v>-4.6270101982640532E-2</v>
      </c>
      <c r="O21" s="1">
        <v>-9.6076581963569427E-2</v>
      </c>
      <c r="P21" s="1">
        <v>6.4445738044227763E-2</v>
      </c>
      <c r="Q21" s="2">
        <v>-0.28064427619930787</v>
      </c>
      <c r="R21" s="1">
        <v>-1.2156595526013539E-2</v>
      </c>
      <c r="S21" s="1">
        <v>-8.0210757276200931E-2</v>
      </c>
      <c r="T21" s="1">
        <v>6.2171988559986457E-2</v>
      </c>
      <c r="U21" s="2">
        <v>-0.3389305850754335</v>
      </c>
      <c r="V21" s="1">
        <v>5.6677653793904881E-2</v>
      </c>
      <c r="W21" s="1">
        <v>-7.62258202144111E-2</v>
      </c>
      <c r="X21" s="1">
        <v>0.1044349211092039</v>
      </c>
      <c r="Y21" s="1">
        <v>-7.2740737012464791E-3</v>
      </c>
      <c r="Z21" s="2">
        <v>0.59502388092022218</v>
      </c>
      <c r="AA21" s="2">
        <v>0.39902933481457808</v>
      </c>
      <c r="AB21" s="1">
        <v>-3.54939942768542E-2</v>
      </c>
      <c r="AC21" s="1">
        <v>-6.3596253600977704E-2</v>
      </c>
      <c r="AD21" s="1">
        <v>4.6667005178908767E-2</v>
      </c>
      <c r="AE21" s="2">
        <v>-0.123684463889895</v>
      </c>
      <c r="AF21" s="1">
        <v>-5.5255933877580272E-2</v>
      </c>
      <c r="AG21" s="1">
        <v>-6.4657390458610298E-2</v>
      </c>
      <c r="AH21" s="1">
        <v>-1.5564069313659071E-2</v>
      </c>
      <c r="AI21" s="2">
        <v>0.1318850973382231</v>
      </c>
      <c r="AJ21" s="1">
        <v>9.0543210104566438E-2</v>
      </c>
      <c r="AK21" s="1">
        <v>4.055638963983605E-3</v>
      </c>
      <c r="AL21" s="1">
        <v>-1.9945660312256409E-2</v>
      </c>
      <c r="AM21" s="1">
        <v>-4.1814459098895394E-3</v>
      </c>
      <c r="AN21" s="1">
        <v>6.4841174542410923E-2</v>
      </c>
      <c r="AO21" s="1">
        <v>1.5836488266408062E-2</v>
      </c>
      <c r="AP21" s="1">
        <v>3.9482294969897233E-2</v>
      </c>
      <c r="AQ21" s="1">
        <v>6.6033678446867042E-2</v>
      </c>
      <c r="AR21" s="1">
        <v>-1.298824396918998E-2</v>
      </c>
      <c r="AS21" s="1">
        <v>3.9779563449980643E-3</v>
      </c>
      <c r="AT21" s="1">
        <v>-8.094018119262536E-2</v>
      </c>
      <c r="AU21" s="1">
        <v>3.4458765516967631E-2</v>
      </c>
      <c r="AV21" s="2">
        <v>0.1212217947373285</v>
      </c>
      <c r="AW21" s="1">
        <v>5.4018451992955137E-2</v>
      </c>
      <c r="AX21" s="1">
        <v>5.4640813875232473E-2</v>
      </c>
      <c r="AY21" s="1">
        <v>-1.6267619385949221E-2</v>
      </c>
      <c r="AZ21" s="1">
        <v>7.3204597349344633E-2</v>
      </c>
      <c r="BA21" s="1">
        <v>1.419875890276223E-2</v>
      </c>
      <c r="BB21" s="1">
        <v>-2.9721701167572799E-2</v>
      </c>
      <c r="BC21" s="1">
        <v>8.5626502854676233E-3</v>
      </c>
      <c r="BD21" s="1">
        <v>-7.5290678319575857E-3</v>
      </c>
      <c r="BE21" s="1">
        <v>-5.7135329058226906E-3</v>
      </c>
      <c r="BF21" s="1">
        <v>1.150110932453303E-2</v>
      </c>
      <c r="BG21" s="1">
        <v>-1.0597929897877501E-2</v>
      </c>
      <c r="BH21" s="1">
        <v>-7.0621551406413008E-4</v>
      </c>
      <c r="BI21" s="1">
        <v>-1.1526102082560019E-2</v>
      </c>
      <c r="BJ21" s="1">
        <v>7.4710874089284566E-3</v>
      </c>
      <c r="BK21" s="1">
        <v>0.1040523022497807</v>
      </c>
      <c r="BL21" s="2">
        <v>0.14036668323427451</v>
      </c>
      <c r="BM21" s="2">
        <v>-0.13312307799748921</v>
      </c>
      <c r="BN21" s="1">
        <v>-4.1636027347803868E-2</v>
      </c>
      <c r="BO21" s="1">
        <v>3.9373299362301772E-2</v>
      </c>
      <c r="BP21" s="1">
        <v>-7.038521680529243E-2</v>
      </c>
      <c r="BQ21" s="1">
        <v>-1.1615152100915941E-2</v>
      </c>
      <c r="BR21" s="1">
        <v>2.6136121499354789E-3</v>
      </c>
      <c r="BS21" s="1">
        <v>-1.222852110323164E-5</v>
      </c>
      <c r="BT21" s="1">
        <v>-1.809682438091233E-2</v>
      </c>
      <c r="BU21" s="1">
        <v>1.185275684518915E-2</v>
      </c>
      <c r="BV21" s="1">
        <v>-1.9604525699904559E-2</v>
      </c>
      <c r="BW21" s="1">
        <v>6.4392204137078699E-3</v>
      </c>
      <c r="BX21" s="1">
        <v>-1.5661376511210939E-2</v>
      </c>
      <c r="BY21" s="1">
        <v>2.4604235442746481E-3</v>
      </c>
      <c r="BZ21" s="1">
        <v>-6.3037591608878178E-3</v>
      </c>
      <c r="CA21" s="1">
        <v>-3.8974482106493799E-3</v>
      </c>
      <c r="CB21" s="1">
        <v>-3.3315606290073921E-3</v>
      </c>
      <c r="CC21" s="1">
        <v>-1.1973960016240239E-3</v>
      </c>
      <c r="CD21" s="1">
        <v>-4.0074903730238497E-2</v>
      </c>
      <c r="CE21" s="1">
        <v>2.4349233907309632E-2</v>
      </c>
      <c r="CF21" s="1">
        <v>-3.2803412752093933E-2</v>
      </c>
      <c r="CG21" s="1">
        <v>2.17737373305961E-2</v>
      </c>
      <c r="CH21" s="1">
        <v>-2.0945911138910971E-2</v>
      </c>
      <c r="CI21" s="1">
        <v>1.306371987471523E-2</v>
      </c>
      <c r="CJ21" s="1">
        <v>-2.0714108584875809E-2</v>
      </c>
      <c r="CK21" s="1">
        <v>4.7176108242049358E-3</v>
      </c>
    </row>
    <row r="22" spans="1:89" x14ac:dyDescent="0.2">
      <c r="A22" s="10"/>
      <c r="B22" s="1" t="s">
        <v>1</v>
      </c>
      <c r="C22" s="1">
        <v>-1.571129242919464E-2</v>
      </c>
      <c r="D22" s="1">
        <v>4.743784352436145E-2</v>
      </c>
      <c r="E22" s="1">
        <v>3.4175615757180033E-2</v>
      </c>
      <c r="F22" s="1">
        <v>-4.0590473786664631E-2</v>
      </c>
      <c r="G22" s="1">
        <v>-4.3622595575974199E-2</v>
      </c>
      <c r="H22" s="2">
        <v>-0.32206494201865687</v>
      </c>
      <c r="I22" s="2">
        <v>0.4242255796052965</v>
      </c>
      <c r="J22" s="2">
        <v>0.3861238090276809</v>
      </c>
      <c r="K22" s="1">
        <v>2.4439458934589829E-3</v>
      </c>
      <c r="L22" s="1">
        <v>-1.841395585522378E-2</v>
      </c>
      <c r="M22" s="1">
        <v>-5.0651870362480457E-2</v>
      </c>
      <c r="N22" s="1">
        <v>-0.11240922565979029</v>
      </c>
      <c r="O22" s="1">
        <v>2.9415341979925892E-2</v>
      </c>
      <c r="P22" s="1">
        <v>-9.1006774156166703E-2</v>
      </c>
      <c r="Q22" s="1">
        <v>1.4471537907185399E-2</v>
      </c>
      <c r="R22" s="1">
        <v>-9.7042032717318247E-2</v>
      </c>
      <c r="S22" s="2">
        <v>-0.17648896193419319</v>
      </c>
      <c r="T22" s="1">
        <v>6.9266158868215563E-2</v>
      </c>
      <c r="U22" s="1">
        <v>-1.4310571069725289E-2</v>
      </c>
      <c r="V22" s="1">
        <v>-7.1739149070764355E-2</v>
      </c>
      <c r="W22" s="1">
        <v>-0.1110992176812278</v>
      </c>
      <c r="X22" s="1">
        <v>1.8162976407896481E-2</v>
      </c>
      <c r="Y22" s="1">
        <v>-9.9713050509332071E-3</v>
      </c>
      <c r="Z22" s="1">
        <v>3.9668326709589093E-2</v>
      </c>
      <c r="AA22" s="1">
        <v>-1.9741330891290869E-2</v>
      </c>
      <c r="AB22" s="2">
        <v>0.30482831826448048</v>
      </c>
      <c r="AC22" s="2">
        <v>0.16939521280357461</v>
      </c>
      <c r="AD22" s="2">
        <v>0.22456549287443611</v>
      </c>
      <c r="AE22" s="2">
        <v>0.19241781318277301</v>
      </c>
      <c r="AF22" s="2">
        <v>0.17095210896375621</v>
      </c>
      <c r="AG22" s="1">
        <v>0.1514068546604504</v>
      </c>
      <c r="AH22" s="1">
        <v>3.3039088138910981E-2</v>
      </c>
      <c r="AI22" s="1">
        <v>-6.7292310156835927E-2</v>
      </c>
      <c r="AJ22" s="1">
        <v>-0.10767270800185259</v>
      </c>
      <c r="AK22" s="1">
        <v>-3.2693331338925248E-3</v>
      </c>
      <c r="AL22" s="1">
        <v>-1.5869380182672761E-4</v>
      </c>
      <c r="AM22" s="1">
        <v>4.3728807156365401E-2</v>
      </c>
      <c r="AN22" s="1">
        <v>-3.4562652179688418E-3</v>
      </c>
      <c r="AO22" s="1">
        <v>-4.3901547714696301E-2</v>
      </c>
      <c r="AP22" s="1">
        <v>0.107561790428939</v>
      </c>
      <c r="AQ22" s="1">
        <v>6.2916528360301913E-2</v>
      </c>
      <c r="AR22" s="1">
        <v>1.035457035058833E-2</v>
      </c>
      <c r="AS22" s="1">
        <v>4.4448025451977009E-4</v>
      </c>
      <c r="AT22" s="1">
        <v>-3.6314630331145181E-2</v>
      </c>
      <c r="AU22" s="1">
        <v>-0.1313079638145806</v>
      </c>
      <c r="AV22" s="1">
        <v>-2.8850968917110569E-2</v>
      </c>
      <c r="AW22" s="1">
        <v>6.8598284006467794E-2</v>
      </c>
      <c r="AX22" s="1">
        <v>0.11491532201066799</v>
      </c>
      <c r="AY22" s="1">
        <v>0.13975260583593399</v>
      </c>
      <c r="AZ22" s="1">
        <v>6.113078424333615E-2</v>
      </c>
      <c r="BA22" s="2">
        <v>0.22373838676347171</v>
      </c>
      <c r="BB22" s="1">
        <v>0.14578688655002209</v>
      </c>
      <c r="BC22" s="1">
        <v>3.8645795149811848E-3</v>
      </c>
      <c r="BD22" s="1">
        <v>1.9575351028750351E-2</v>
      </c>
      <c r="BE22" s="1">
        <v>-2.0755955855275461E-2</v>
      </c>
      <c r="BF22" s="1">
        <v>2.501636003599312E-3</v>
      </c>
      <c r="BG22" s="1">
        <v>-1.9137761535241399E-2</v>
      </c>
      <c r="BH22" s="1">
        <v>-8.3538126646470149E-3</v>
      </c>
      <c r="BI22" s="1">
        <v>-1.271464350757787E-2</v>
      </c>
      <c r="BJ22" s="1">
        <v>-6.7111834853459873E-3</v>
      </c>
      <c r="BK22" s="1">
        <v>5.1812026509558698E-2</v>
      </c>
      <c r="BL22" s="1">
        <v>8.1127726563970728E-2</v>
      </c>
      <c r="BM22" s="1">
        <v>-9.7126972629824504E-2</v>
      </c>
      <c r="BN22" s="1">
        <v>-3.0926004971314841E-2</v>
      </c>
      <c r="BO22" s="1">
        <v>1.383078920995252E-2</v>
      </c>
      <c r="BP22" s="1">
        <v>-8.4445869050826669E-2</v>
      </c>
      <c r="BQ22" s="1">
        <v>-3.7860664951097363E-2</v>
      </c>
      <c r="BR22" s="1">
        <v>-1.030011094899416E-3</v>
      </c>
      <c r="BS22" s="1">
        <v>1.047525166295853E-2</v>
      </c>
      <c r="BT22" s="1">
        <v>-1.349231854371149E-2</v>
      </c>
      <c r="BU22" s="1">
        <v>1.9269597852991781E-2</v>
      </c>
      <c r="BV22" s="1">
        <v>-9.6571789611739813E-3</v>
      </c>
      <c r="BW22" s="1">
        <v>1.106506270345621E-2</v>
      </c>
      <c r="BX22" s="1">
        <v>-2.959275675102516E-2</v>
      </c>
      <c r="BY22" s="1">
        <v>1.8248864622766141E-2</v>
      </c>
      <c r="BZ22" s="1">
        <v>-3.1122889140427872E-2</v>
      </c>
      <c r="CA22" s="1">
        <v>2.17460544320064E-2</v>
      </c>
      <c r="CB22" s="1">
        <v>-3.4860465724903963E-2</v>
      </c>
      <c r="CC22" s="1">
        <v>2.9539191639405101E-2</v>
      </c>
      <c r="CD22" s="1">
        <v>-2.8230276213655332E-2</v>
      </c>
      <c r="CE22" s="1">
        <v>1.9616258274753759E-2</v>
      </c>
      <c r="CF22" s="1">
        <v>-3.599044250985238E-2</v>
      </c>
      <c r="CG22" s="1">
        <v>2.6275443734700581E-2</v>
      </c>
      <c r="CH22" s="1">
        <v>-2.6024537019352371E-2</v>
      </c>
      <c r="CI22" s="1">
        <v>1.314926566559056E-2</v>
      </c>
      <c r="CJ22" s="1">
        <v>-1.7259927684750102E-2</v>
      </c>
      <c r="CK22" s="1">
        <v>2.9784906386434492E-3</v>
      </c>
    </row>
    <row r="23" spans="1:89" x14ac:dyDescent="0.2">
      <c r="A23" s="10"/>
      <c r="B23" s="1" t="s">
        <v>2</v>
      </c>
      <c r="C23" s="1">
        <v>0.1058318494615529</v>
      </c>
      <c r="D23" s="1">
        <v>-0.1215166000792853</v>
      </c>
      <c r="E23" s="1">
        <v>-8.0252259170952522E-2</v>
      </c>
      <c r="F23" s="1">
        <v>1.917468685603357E-2</v>
      </c>
      <c r="G23" s="2">
        <v>0.144979089953573</v>
      </c>
      <c r="H23" s="1">
        <v>2.583611344516127E-2</v>
      </c>
      <c r="I23" s="1">
        <v>7.8070758354797543E-2</v>
      </c>
      <c r="J23" s="1">
        <v>6.9722729009513817E-2</v>
      </c>
      <c r="K23" s="1">
        <v>-1.244840507122724E-2</v>
      </c>
      <c r="L23" s="1">
        <v>1.768621399540939E-2</v>
      </c>
      <c r="M23" s="2">
        <v>0.43549952317442231</v>
      </c>
      <c r="N23" s="1">
        <v>0.1148626962198311</v>
      </c>
      <c r="O23" s="1">
        <v>-0.12361381709955351</v>
      </c>
      <c r="P23" s="1">
        <v>0.1019967921471838</v>
      </c>
      <c r="Q23" s="1">
        <v>7.9595397068825235E-2</v>
      </c>
      <c r="R23" s="1">
        <v>3.7651056080705812E-2</v>
      </c>
      <c r="S23" s="1">
        <v>0.1233850870299919</v>
      </c>
      <c r="T23" s="1">
        <v>-7.0253621149164586E-2</v>
      </c>
      <c r="U23" s="1">
        <v>-2.9511230420005159E-2</v>
      </c>
      <c r="V23" s="1">
        <v>-1.433499252587148E-2</v>
      </c>
      <c r="W23" s="1">
        <v>3.4097503899841793E-2</v>
      </c>
      <c r="X23" s="1">
        <v>-7.9350569344144528E-2</v>
      </c>
      <c r="Y23" s="1">
        <v>3.8074216839857573E-2</v>
      </c>
      <c r="Z23" s="1">
        <v>2.3671637213566941E-2</v>
      </c>
      <c r="AA23" s="1">
        <v>-8.1341749418906054E-2</v>
      </c>
      <c r="AB23" s="1">
        <v>3.5536341046026557E-2</v>
      </c>
      <c r="AC23" s="1">
        <v>9.009659249905852E-2</v>
      </c>
      <c r="AD23" s="1">
        <v>-1.8153945986749489E-2</v>
      </c>
      <c r="AE23" s="1">
        <v>-6.0847413821434437E-2</v>
      </c>
      <c r="AF23" s="1">
        <v>1.1738844035192351E-2</v>
      </c>
      <c r="AG23" s="1">
        <v>-3.2215413345696498E-2</v>
      </c>
      <c r="AH23" s="1">
        <v>-9.9109432745933829E-3</v>
      </c>
      <c r="AI23" s="2">
        <v>0.4161083639442375</v>
      </c>
      <c r="AJ23" s="2">
        <v>0.16468242007295111</v>
      </c>
      <c r="AK23" s="1">
        <v>-1.616181747067965E-2</v>
      </c>
      <c r="AL23" s="1">
        <v>1.9655502270009669E-2</v>
      </c>
      <c r="AM23" s="1">
        <v>-2.7628138088655749E-2</v>
      </c>
      <c r="AN23" s="1">
        <v>4.1836499556929703E-2</v>
      </c>
      <c r="AO23" s="1">
        <v>3.4891134007806343E-2</v>
      </c>
      <c r="AP23" s="1">
        <v>-9.4842964599041651E-2</v>
      </c>
      <c r="AQ23" s="1">
        <v>-8.3613864850399094E-2</v>
      </c>
      <c r="AR23" s="1">
        <v>-4.4666544972729531E-2</v>
      </c>
      <c r="AS23" s="1">
        <v>-3.3845402768180391E-3</v>
      </c>
      <c r="AT23" s="1">
        <v>7.8224372358184857E-2</v>
      </c>
      <c r="AU23" s="1">
        <v>0.136688937187771</v>
      </c>
      <c r="AV23" s="1">
        <v>-2.0702458871922048E-2</v>
      </c>
      <c r="AW23" s="1">
        <v>0.11651773700743361</v>
      </c>
      <c r="AX23" s="2">
        <v>0.20038099704792209</v>
      </c>
      <c r="AY23" s="2">
        <v>-0.1927291876105682</v>
      </c>
      <c r="AZ23" s="1">
        <v>-7.1365834139444001E-2</v>
      </c>
      <c r="BA23" s="2">
        <v>0.16436893051495491</v>
      </c>
      <c r="BB23" s="2">
        <v>0.23354079581042819</v>
      </c>
      <c r="BC23" s="2">
        <v>0.16014220415015501</v>
      </c>
      <c r="BD23" s="1">
        <v>5.3290384330185007E-2</v>
      </c>
      <c r="BE23" s="1">
        <v>4.6653158431787918E-2</v>
      </c>
      <c r="BF23" s="1">
        <v>3.9971536526326339E-2</v>
      </c>
      <c r="BG23" s="1">
        <v>-2.5670285655227099E-2</v>
      </c>
      <c r="BH23" s="1">
        <v>-2.2224590210956241E-2</v>
      </c>
      <c r="BI23" s="1">
        <v>-2.77073287081828E-2</v>
      </c>
      <c r="BJ23" s="1">
        <v>7.0446087424840403E-2</v>
      </c>
      <c r="BK23" s="1">
        <v>6.2444362265405683E-3</v>
      </c>
      <c r="BL23" s="1">
        <v>5.3889907817733979E-2</v>
      </c>
      <c r="BM23" s="1">
        <v>3.0231020839787268E-2</v>
      </c>
      <c r="BN23" s="1">
        <v>1.386444453970803E-2</v>
      </c>
      <c r="BO23" s="1">
        <v>-4.7648081153614942E-2</v>
      </c>
      <c r="BP23" s="1">
        <v>-0.1370483750415844</v>
      </c>
      <c r="BQ23" s="1">
        <v>-4.8423947340452377E-2</v>
      </c>
      <c r="BR23" s="1">
        <v>-8.015139086228372E-2</v>
      </c>
      <c r="BS23" s="1">
        <v>5.7927305381687652E-2</v>
      </c>
      <c r="BT23" s="1">
        <v>-0.10986854911339219</v>
      </c>
      <c r="BU23" s="1">
        <v>6.8604369291935585E-2</v>
      </c>
      <c r="BV23" s="1">
        <v>-7.7746404015825374E-2</v>
      </c>
      <c r="BW23" s="1">
        <v>3.8922304828306428E-2</v>
      </c>
      <c r="BX23" s="1">
        <v>-0.1131417834800524</v>
      </c>
      <c r="BY23" s="1">
        <v>3.7953242652641828E-2</v>
      </c>
      <c r="BZ23" s="1">
        <v>-9.8030978571428742E-2</v>
      </c>
      <c r="CA23" s="1">
        <v>5.6642474845658278E-2</v>
      </c>
      <c r="CB23" s="1">
        <v>-0.12802477081311631</v>
      </c>
      <c r="CC23" s="1">
        <v>6.7912741120221318E-2</v>
      </c>
      <c r="CD23" s="2">
        <v>-0.15009336490162481</v>
      </c>
      <c r="CE23" s="1">
        <v>7.7173882058684612E-2</v>
      </c>
      <c r="CF23" s="1">
        <v>-0.108973512630888</v>
      </c>
      <c r="CG23" s="1">
        <v>5.5041169519193932E-2</v>
      </c>
      <c r="CH23" s="1">
        <v>-0.1104325333729871</v>
      </c>
      <c r="CI23" s="1">
        <v>5.0840561137230782E-2</v>
      </c>
      <c r="CJ23" s="1">
        <v>-0.1122549835234823</v>
      </c>
      <c r="CK23" s="1">
        <v>2.972861715012667E-2</v>
      </c>
    </row>
    <row r="24" spans="1:89" x14ac:dyDescent="0.2">
      <c r="A24" s="10"/>
      <c r="B24" s="1" t="s">
        <v>3</v>
      </c>
      <c r="C24" s="1">
        <v>-0.1399199563294119</v>
      </c>
      <c r="D24" s="1">
        <v>5.7792305503679087E-2</v>
      </c>
      <c r="E24" s="1">
        <v>2.6998743561257001E-2</v>
      </c>
      <c r="F24" s="2">
        <v>0.2359294521617453</v>
      </c>
      <c r="G24" s="2">
        <v>-0.19879919383805369</v>
      </c>
      <c r="H24" s="1">
        <v>-6.2801378920212092E-2</v>
      </c>
      <c r="I24" s="1">
        <v>4.8363336072187291E-2</v>
      </c>
      <c r="J24" s="1">
        <v>5.0283219629484947E-2</v>
      </c>
      <c r="K24" s="1">
        <v>9.4012929367074394E-3</v>
      </c>
      <c r="L24" s="1">
        <v>-7.5367943801163961E-3</v>
      </c>
      <c r="M24" s="2">
        <v>0.40885394227502853</v>
      </c>
      <c r="N24" s="2">
        <v>0.3001807482110081</v>
      </c>
      <c r="O24" s="1">
        <v>-6.314227811428734E-2</v>
      </c>
      <c r="P24" s="1">
        <v>4.212609627927788E-2</v>
      </c>
      <c r="Q24" s="1">
        <v>-5.902456065759152E-2</v>
      </c>
      <c r="R24" s="1">
        <v>6.4863448711932484E-3</v>
      </c>
      <c r="S24" s="2">
        <v>-0.1786290769069889</v>
      </c>
      <c r="T24" s="1">
        <v>0.14444489843214139</v>
      </c>
      <c r="U24" s="1">
        <v>7.0741410721755701E-2</v>
      </c>
      <c r="V24" s="1">
        <v>-2.556802016401908E-2</v>
      </c>
      <c r="W24" s="1">
        <v>-8.0921478620654672E-2</v>
      </c>
      <c r="X24" s="1">
        <v>0.1115850034714365</v>
      </c>
      <c r="Y24" s="1">
        <v>-1.200450788018512E-2</v>
      </c>
      <c r="Z24" s="2">
        <v>-0.17284962576429941</v>
      </c>
      <c r="AA24" s="1">
        <v>3.3836527850747637E-2</v>
      </c>
      <c r="AB24" s="1">
        <v>2.8495184390629341E-2</v>
      </c>
      <c r="AC24" s="1">
        <v>-7.8846550983208391E-2</v>
      </c>
      <c r="AD24" s="1">
        <v>9.823122286048902E-2</v>
      </c>
      <c r="AE24" s="1">
        <v>5.7294249086114218E-2</v>
      </c>
      <c r="AF24" s="1">
        <v>-2.9598619005733771E-2</v>
      </c>
      <c r="AG24" s="1">
        <v>5.6254233231238363E-2</v>
      </c>
      <c r="AH24" s="1">
        <v>-4.2956923744217447E-3</v>
      </c>
      <c r="AI24" s="2">
        <v>0.26292593085340582</v>
      </c>
      <c r="AJ24" s="2">
        <v>0.21167432495797731</v>
      </c>
      <c r="AK24" s="1">
        <v>1.60528899299099E-2</v>
      </c>
      <c r="AL24" s="1">
        <v>2.9488995960850429E-3</v>
      </c>
      <c r="AM24" s="1">
        <v>2.1912349739035011E-2</v>
      </c>
      <c r="AN24" s="1">
        <v>1.986178971260151E-2</v>
      </c>
      <c r="AO24" s="1">
        <v>-1.8103136649245781E-2</v>
      </c>
      <c r="AP24" s="1">
        <v>0.12450885880379869</v>
      </c>
      <c r="AQ24" s="1">
        <v>0.12177919031690899</v>
      </c>
      <c r="AR24" s="1">
        <v>3.2364144165175697E-2</v>
      </c>
      <c r="AS24" s="1">
        <v>5.3555822063582337E-3</v>
      </c>
      <c r="AT24" s="1">
        <v>-0.12448464069338749</v>
      </c>
      <c r="AU24" s="1">
        <v>8.1753902717524432E-2</v>
      </c>
      <c r="AV24" s="2">
        <v>0.25785480809779149</v>
      </c>
      <c r="AW24" s="1">
        <v>-0.15946960869610549</v>
      </c>
      <c r="AX24" s="1">
        <v>2.74656107911386E-2</v>
      </c>
      <c r="AY24" s="1">
        <v>4.6078545034826481E-2</v>
      </c>
      <c r="AZ24" s="1">
        <v>5.4118358757926699E-2</v>
      </c>
      <c r="BA24" s="1">
        <v>-4.5853457232836792E-2</v>
      </c>
      <c r="BB24" s="1">
        <v>-6.5470140909088023E-2</v>
      </c>
      <c r="BC24" s="1">
        <v>-4.4050028296984851E-2</v>
      </c>
      <c r="BD24" s="1">
        <v>-3.9798021741306137E-2</v>
      </c>
      <c r="BE24" s="1">
        <v>-2.9551565329811472E-2</v>
      </c>
      <c r="BF24" s="1">
        <v>-5.5100005647470987E-2</v>
      </c>
      <c r="BG24" s="1">
        <v>1.8228950167357032E-2</v>
      </c>
      <c r="BH24" s="1">
        <v>9.0638118509603592E-3</v>
      </c>
      <c r="BI24" s="1">
        <v>5.7108969465671913E-2</v>
      </c>
      <c r="BJ24" s="1">
        <v>-7.4796222196131162E-2</v>
      </c>
      <c r="BK24" s="1">
        <v>6.0413310255623832E-2</v>
      </c>
      <c r="BL24" s="1">
        <v>0.1103028543148744</v>
      </c>
      <c r="BM24" s="1">
        <v>-6.3123337755867176E-2</v>
      </c>
      <c r="BN24" s="1">
        <v>-5.722324661524042E-2</v>
      </c>
      <c r="BO24" s="1">
        <v>-2.352557260706939E-3</v>
      </c>
      <c r="BP24" s="2">
        <v>0.18659094960740061</v>
      </c>
      <c r="BQ24" s="1">
        <v>5.827628975274305E-2</v>
      </c>
      <c r="BR24" s="1">
        <v>5.0576863464298627E-2</v>
      </c>
      <c r="BS24" s="1">
        <v>-4.9047713410503693E-2</v>
      </c>
      <c r="BT24" s="1">
        <v>5.817398086635589E-2</v>
      </c>
      <c r="BU24" s="1">
        <v>-5.8268531646446027E-2</v>
      </c>
      <c r="BV24" s="1">
        <v>7.9980251493474874E-2</v>
      </c>
      <c r="BW24" s="1">
        <v>-5.5424567084410972E-2</v>
      </c>
      <c r="BX24" s="1">
        <v>0.1017001617306659</v>
      </c>
      <c r="BY24" s="1">
        <v>-4.0807416240285589E-2</v>
      </c>
      <c r="BZ24" s="1">
        <v>9.006863156880629E-2</v>
      </c>
      <c r="CA24" s="1">
        <v>-6.8946287842520187E-2</v>
      </c>
      <c r="CB24" s="1">
        <v>0.118935351317556</v>
      </c>
      <c r="CC24" s="1">
        <v>-9.8623961095942847E-2</v>
      </c>
      <c r="CD24" s="1">
        <v>0.1198019558122473</v>
      </c>
      <c r="CE24" s="1">
        <v>-6.0641259122535027E-2</v>
      </c>
      <c r="CF24" s="1">
        <v>0.1010437705512417</v>
      </c>
      <c r="CG24" s="1">
        <v>-5.7287018857005267E-2</v>
      </c>
      <c r="CH24" s="1">
        <v>7.3328334560182687E-2</v>
      </c>
      <c r="CI24" s="1">
        <v>-6.342312463160818E-2</v>
      </c>
      <c r="CJ24" s="1">
        <v>9.9885558261920596E-2</v>
      </c>
      <c r="CK24" s="1">
        <v>-3.2818146213807013E-2</v>
      </c>
    </row>
    <row r="25" spans="1:89" x14ac:dyDescent="0.2">
      <c r="A25" s="10"/>
      <c r="B25" s="1" t="s">
        <v>4</v>
      </c>
      <c r="C25" s="2">
        <v>0.1498771980500416</v>
      </c>
      <c r="D25" s="1">
        <v>7.8516097950527275E-3</v>
      </c>
      <c r="E25" s="1">
        <v>4.41938564910066E-4</v>
      </c>
      <c r="F25" s="1">
        <v>-9.4471298167869852E-2</v>
      </c>
      <c r="G25" s="1">
        <v>6.9111754681766335E-2</v>
      </c>
      <c r="H25" s="1">
        <v>-8.225659686775634E-2</v>
      </c>
      <c r="I25" s="1">
        <v>4.4288623923702808E-3</v>
      </c>
      <c r="J25" s="1">
        <v>3.4536009987504719E-3</v>
      </c>
      <c r="K25" s="1">
        <v>-2.2264930650325091E-2</v>
      </c>
      <c r="L25" s="1">
        <v>5.4997619095554784E-3</v>
      </c>
      <c r="M25" s="1">
        <v>1.5995040528827751E-2</v>
      </c>
      <c r="N25" s="1">
        <v>-0.1109388438666551</v>
      </c>
      <c r="O25" s="1">
        <v>-2.5409800802573761E-2</v>
      </c>
      <c r="P25" s="1">
        <v>-4.726643958922367E-2</v>
      </c>
      <c r="Q25" s="1">
        <v>2.1964210001356212E-2</v>
      </c>
      <c r="R25" s="1">
        <v>-8.9458547119455611E-2</v>
      </c>
      <c r="S25" s="1">
        <v>5.6892770411919223E-2</v>
      </c>
      <c r="T25" s="1">
        <v>-0.11820852959952489</v>
      </c>
      <c r="U25" s="1">
        <v>-9.4619185187107407E-2</v>
      </c>
      <c r="V25" s="2">
        <v>-0.24981857681626379</v>
      </c>
      <c r="W25" s="1">
        <v>-8.4380687810403102E-2</v>
      </c>
      <c r="X25" s="2">
        <v>-0.14375867826257199</v>
      </c>
      <c r="Y25" s="1">
        <v>-1.680940089298007E-2</v>
      </c>
      <c r="Z25" s="2">
        <v>0.19134663330467039</v>
      </c>
      <c r="AA25" s="1">
        <v>5.5902470539726992E-3</v>
      </c>
      <c r="AB25" s="1">
        <v>-2.361947967762398E-2</v>
      </c>
      <c r="AC25" s="1">
        <v>0.10373559308367281</v>
      </c>
      <c r="AD25" s="1">
        <v>-9.4986431600126448E-3</v>
      </c>
      <c r="AE25" s="1">
        <v>-2.632895342411987E-2</v>
      </c>
      <c r="AF25" s="1">
        <v>5.9104511628565247E-2</v>
      </c>
      <c r="AG25" s="1">
        <v>-2.2895385474668451E-2</v>
      </c>
      <c r="AH25" s="1">
        <v>5.8651698723381621E-2</v>
      </c>
      <c r="AI25" s="1">
        <v>4.4036750604210258E-2</v>
      </c>
      <c r="AJ25" s="1">
        <v>-4.3085074251613599E-2</v>
      </c>
      <c r="AK25" s="1">
        <v>1.8244433125645349E-2</v>
      </c>
      <c r="AL25" s="2">
        <v>0.12706233565235039</v>
      </c>
      <c r="AM25" s="1">
        <v>2.873946345899429E-2</v>
      </c>
      <c r="AN25" s="1">
        <v>2.1721268367100349E-2</v>
      </c>
      <c r="AO25" s="1">
        <v>-2.452439480040406E-2</v>
      </c>
      <c r="AP25" s="1">
        <v>-3.3544716703786802E-2</v>
      </c>
      <c r="AQ25" s="2">
        <v>-0.13759700498894981</v>
      </c>
      <c r="AR25" s="1">
        <v>8.885436492599412E-2</v>
      </c>
      <c r="AS25" s="1">
        <v>3.0607439989816941E-3</v>
      </c>
      <c r="AT25" s="1">
        <v>5.4968121476444698E-2</v>
      </c>
      <c r="AU25" s="1">
        <v>-2.7081546478205171E-2</v>
      </c>
      <c r="AV25" s="1">
        <v>-7.8055443378692399E-2</v>
      </c>
      <c r="AW25" s="2">
        <v>-0.46890927266560928</v>
      </c>
      <c r="AX25" s="1">
        <v>0.115119052784768</v>
      </c>
      <c r="AY25" s="1">
        <v>-7.2561043497718705E-2</v>
      </c>
      <c r="AZ25" s="2">
        <v>-0.13939521893691689</v>
      </c>
      <c r="BA25" s="1">
        <v>8.9475926394457561E-2</v>
      </c>
      <c r="BB25" s="1">
        <v>0.10107680538797589</v>
      </c>
      <c r="BC25" s="1">
        <v>6.4677916619605785E-2</v>
      </c>
      <c r="BD25" s="1">
        <v>9.0897677014424444E-2</v>
      </c>
      <c r="BE25" s="1">
        <v>8.7514973320202569E-2</v>
      </c>
      <c r="BF25" s="1">
        <v>2.8512659584297769E-2</v>
      </c>
      <c r="BG25" s="1">
        <v>2.7587191370813561E-2</v>
      </c>
      <c r="BH25" s="1">
        <v>-1.404981189816196E-2</v>
      </c>
      <c r="BI25" s="1">
        <v>6.7752734441052523E-2</v>
      </c>
      <c r="BJ25" s="1">
        <v>8.7538078820852391E-2</v>
      </c>
      <c r="BK25" s="1">
        <v>7.9424150622575112E-3</v>
      </c>
      <c r="BL25" s="1">
        <v>3.1048932813182901E-2</v>
      </c>
      <c r="BM25" s="1">
        <v>5.7417897298402333E-2</v>
      </c>
      <c r="BN25" s="1">
        <v>3.6934367548572863E-2</v>
      </c>
      <c r="BO25" s="1">
        <v>2.409892705997526E-2</v>
      </c>
      <c r="BP25" s="2">
        <v>0.55563613006052315</v>
      </c>
      <c r="BQ25" s="2">
        <v>0.18182061539840511</v>
      </c>
      <c r="BR25" s="1">
        <v>-2.132971727561056E-2</v>
      </c>
      <c r="BS25" s="1">
        <v>2.651166550098542E-2</v>
      </c>
      <c r="BT25" s="1">
        <v>-2.6716134201370239E-2</v>
      </c>
      <c r="BU25" s="1">
        <v>4.1658526693397258E-2</v>
      </c>
      <c r="BV25" s="1">
        <v>3.5464163561578943E-2</v>
      </c>
      <c r="BW25" s="1">
        <v>-1.297377709109936E-2</v>
      </c>
      <c r="BX25" s="1">
        <v>4.2564139174108173E-2</v>
      </c>
      <c r="BY25" s="1">
        <v>-3.347512852892249E-3</v>
      </c>
      <c r="BZ25" s="1">
        <v>3.9238770837207337E-2</v>
      </c>
      <c r="CA25" s="1">
        <v>-5.863110808408515E-3</v>
      </c>
      <c r="CB25" s="1">
        <v>5.3635496904482473E-2</v>
      </c>
      <c r="CC25" s="1">
        <v>-5.2673314615184052E-3</v>
      </c>
      <c r="CD25" s="1">
        <v>7.7946726340630712E-2</v>
      </c>
      <c r="CE25" s="1">
        <v>-3.5259406081851428E-2</v>
      </c>
      <c r="CF25" s="1">
        <v>7.5147384731945474E-2</v>
      </c>
      <c r="CG25" s="1">
        <v>-3.3046096882920567E-2</v>
      </c>
      <c r="CH25" s="1">
        <v>8.7707637290668133E-2</v>
      </c>
      <c r="CI25" s="1">
        <v>-5.0464383625160522E-2</v>
      </c>
      <c r="CJ25" s="1">
        <v>7.434327919344734E-2</v>
      </c>
      <c r="CK25" s="1">
        <v>-1.7289069919399162E-2</v>
      </c>
    </row>
    <row r="27" spans="1:89" x14ac:dyDescent="0.2">
      <c r="A27" s="10" t="s">
        <v>11</v>
      </c>
      <c r="B27" s="1" t="s">
        <v>0</v>
      </c>
      <c r="C27" s="1">
        <v>-1.69988524725979E-2</v>
      </c>
      <c r="D27" s="1">
        <v>-7.4209535498211118E-2</v>
      </c>
      <c r="E27" s="1">
        <v>-4.9147850478421962E-2</v>
      </c>
      <c r="F27" s="1">
        <v>-9.860891305896391E-2</v>
      </c>
      <c r="G27" s="2">
        <v>-0.13718651476136121</v>
      </c>
      <c r="H27" s="1">
        <v>-0.11303055502647689</v>
      </c>
      <c r="I27" s="1">
        <v>-7.4869801121085003E-2</v>
      </c>
      <c r="J27" s="1">
        <v>-9.4225567268775443E-2</v>
      </c>
      <c r="K27" s="1">
        <v>-6.838515716645846E-2</v>
      </c>
      <c r="L27" s="1">
        <v>6.0660294814917942E-2</v>
      </c>
      <c r="M27" s="1">
        <v>-9.8120217909119289E-2</v>
      </c>
      <c r="N27" s="1">
        <v>-4.6270101982640532E-2</v>
      </c>
      <c r="O27" s="1">
        <v>-9.6076581963569427E-2</v>
      </c>
      <c r="P27" s="1">
        <v>6.4445738044227763E-2</v>
      </c>
      <c r="Q27" s="2">
        <v>-0.28064427619930787</v>
      </c>
      <c r="R27" s="1">
        <v>-1.2156595526013539E-2</v>
      </c>
      <c r="S27" s="1">
        <v>-8.0210757276200931E-2</v>
      </c>
      <c r="T27" s="1">
        <v>6.2171988559986457E-2</v>
      </c>
      <c r="U27" s="2">
        <v>-0.3389305850754335</v>
      </c>
      <c r="V27" s="1">
        <v>5.6677653793904881E-2</v>
      </c>
      <c r="W27" s="1">
        <v>-7.62258202144111E-2</v>
      </c>
      <c r="X27" s="1">
        <v>0.1044349211092039</v>
      </c>
      <c r="Y27" s="1">
        <v>-7.2740737012464791E-3</v>
      </c>
      <c r="Z27" s="2">
        <v>0.59502388092022218</v>
      </c>
      <c r="AA27" s="2">
        <v>0.39902933481457808</v>
      </c>
      <c r="AB27" s="1">
        <v>-3.54939942768542E-2</v>
      </c>
      <c r="AC27" s="1">
        <v>-6.3596253600977704E-2</v>
      </c>
      <c r="AD27" s="1">
        <v>4.6667005178908767E-2</v>
      </c>
      <c r="AE27" s="2">
        <v>-0.123684463889895</v>
      </c>
      <c r="AF27" s="1">
        <v>-5.5255933877580272E-2</v>
      </c>
      <c r="AG27" s="1">
        <v>-6.4657390458610298E-2</v>
      </c>
      <c r="AH27" s="1">
        <v>-1.5564069313659071E-2</v>
      </c>
      <c r="AI27" s="2">
        <v>0.1318850973382231</v>
      </c>
      <c r="AJ27" s="1">
        <v>9.0543210104566438E-2</v>
      </c>
      <c r="AK27" s="1">
        <v>4.055638963983605E-3</v>
      </c>
      <c r="AL27" s="1">
        <v>-1.9945660312256409E-2</v>
      </c>
      <c r="AM27" s="1">
        <v>-4.1814459098895394E-3</v>
      </c>
      <c r="AN27" s="1">
        <v>6.4841174542410923E-2</v>
      </c>
      <c r="AO27" s="1">
        <v>1.5836488266408062E-2</v>
      </c>
      <c r="AP27" s="1">
        <v>3.9482294969897233E-2</v>
      </c>
      <c r="AQ27" s="1">
        <v>6.6033678446867042E-2</v>
      </c>
      <c r="AR27" s="1">
        <v>-1.298824396918998E-2</v>
      </c>
      <c r="AS27" s="1">
        <v>3.9779563449980643E-3</v>
      </c>
      <c r="AT27" s="1">
        <v>-8.094018119262536E-2</v>
      </c>
      <c r="AU27" s="1">
        <v>3.4458765516967631E-2</v>
      </c>
      <c r="AV27" s="2">
        <v>0.1212217947373285</v>
      </c>
      <c r="AW27" s="1">
        <v>5.4018451992955137E-2</v>
      </c>
      <c r="AX27" s="1">
        <v>5.4640813875232473E-2</v>
      </c>
      <c r="AY27" s="1">
        <v>-1.6267619385949221E-2</v>
      </c>
      <c r="AZ27" s="1">
        <v>7.3204597349344633E-2</v>
      </c>
      <c r="BA27" s="1">
        <v>1.419875890276223E-2</v>
      </c>
      <c r="BB27" s="1">
        <v>-2.9721701167572799E-2</v>
      </c>
      <c r="BC27" s="1">
        <v>8.5626502854676233E-3</v>
      </c>
      <c r="BD27" s="1">
        <v>-7.5290678319575857E-3</v>
      </c>
      <c r="BE27" s="1">
        <v>-5.7135329058226906E-3</v>
      </c>
      <c r="BF27" s="1">
        <v>1.150110932453303E-2</v>
      </c>
      <c r="BG27" s="1">
        <v>-1.0597929897877501E-2</v>
      </c>
      <c r="BH27" s="1">
        <v>-7.0621551406413008E-4</v>
      </c>
      <c r="BI27" s="1">
        <v>-1.1526102082560019E-2</v>
      </c>
      <c r="BJ27" s="1">
        <v>7.4710874089284566E-3</v>
      </c>
      <c r="BK27" s="1">
        <v>0.1040523022497807</v>
      </c>
      <c r="BL27" s="2">
        <v>0.14036668323427451</v>
      </c>
      <c r="BM27" s="2">
        <v>-0.13312307799748921</v>
      </c>
      <c r="BN27" s="1">
        <v>-4.1636027347803868E-2</v>
      </c>
      <c r="BO27" s="1">
        <v>3.9373299362301772E-2</v>
      </c>
      <c r="BP27" s="1">
        <v>-7.038521680529243E-2</v>
      </c>
      <c r="BQ27" s="1">
        <v>-1.1615152100915941E-2</v>
      </c>
      <c r="BR27" s="1">
        <v>2.6136121499354789E-3</v>
      </c>
      <c r="BS27" s="1">
        <v>-1.222852110323164E-5</v>
      </c>
      <c r="BT27" s="1">
        <v>-1.809682438091233E-2</v>
      </c>
      <c r="BU27" s="1">
        <v>1.185275684518915E-2</v>
      </c>
      <c r="BV27" s="1">
        <v>-1.9604525699904559E-2</v>
      </c>
      <c r="BW27" s="1">
        <v>6.4392204137078699E-3</v>
      </c>
      <c r="BX27" s="1">
        <v>-1.5661376511210939E-2</v>
      </c>
      <c r="BY27" s="1">
        <v>2.4604235442746481E-3</v>
      </c>
      <c r="BZ27" s="1">
        <v>-6.3037591608878178E-3</v>
      </c>
      <c r="CA27" s="1">
        <v>-3.8974482106493799E-3</v>
      </c>
      <c r="CB27" s="1">
        <v>-3.3315606290073921E-3</v>
      </c>
      <c r="CC27" s="1">
        <v>-1.1973960016240239E-3</v>
      </c>
      <c r="CD27" s="1">
        <v>-4.0074903730238497E-2</v>
      </c>
      <c r="CE27" s="1">
        <v>2.4349233907309632E-2</v>
      </c>
      <c r="CF27" s="1">
        <v>-3.2803412752093933E-2</v>
      </c>
      <c r="CG27" s="1">
        <v>2.17737373305961E-2</v>
      </c>
      <c r="CH27" s="1">
        <v>-2.0945911138910971E-2</v>
      </c>
      <c r="CI27" s="1">
        <v>1.306371987471523E-2</v>
      </c>
      <c r="CJ27" s="1">
        <v>-2.0714108584875809E-2</v>
      </c>
      <c r="CK27" s="1">
        <v>4.7176108242049358E-3</v>
      </c>
    </row>
    <row r="28" spans="1:89" x14ac:dyDescent="0.2">
      <c r="A28" s="10"/>
      <c r="B28" s="1" t="s">
        <v>1</v>
      </c>
      <c r="C28" s="1">
        <v>-1.571129242919464E-2</v>
      </c>
      <c r="D28" s="1">
        <v>4.743784352436145E-2</v>
      </c>
      <c r="E28" s="1">
        <v>3.4175615757180033E-2</v>
      </c>
      <c r="F28" s="1">
        <v>-4.0590473786664631E-2</v>
      </c>
      <c r="G28" s="1">
        <v>-4.3622595575974199E-2</v>
      </c>
      <c r="H28" s="2">
        <v>-0.32206494201865687</v>
      </c>
      <c r="I28" s="2">
        <v>0.4242255796052965</v>
      </c>
      <c r="J28" s="2">
        <v>0.3861238090276809</v>
      </c>
      <c r="K28" s="1">
        <v>2.4439458934589829E-3</v>
      </c>
      <c r="L28" s="1">
        <v>-1.841395585522378E-2</v>
      </c>
      <c r="M28" s="1">
        <v>-5.0651870362480457E-2</v>
      </c>
      <c r="N28" s="1">
        <v>-0.11240922565979029</v>
      </c>
      <c r="O28" s="1">
        <v>2.9415341979925892E-2</v>
      </c>
      <c r="P28" s="1">
        <v>-9.1006774156166703E-2</v>
      </c>
      <c r="Q28" s="1">
        <v>1.4471537907185399E-2</v>
      </c>
      <c r="R28" s="1">
        <v>-9.7042032717318247E-2</v>
      </c>
      <c r="S28" s="2">
        <v>-0.17648896193419319</v>
      </c>
      <c r="T28" s="1">
        <v>6.9266158868215563E-2</v>
      </c>
      <c r="U28" s="1">
        <v>-1.4310571069725289E-2</v>
      </c>
      <c r="V28" s="1">
        <v>-7.1739149070764355E-2</v>
      </c>
      <c r="W28" s="1">
        <v>-0.1110992176812278</v>
      </c>
      <c r="X28" s="1">
        <v>1.8162976407896481E-2</v>
      </c>
      <c r="Y28" s="1">
        <v>-9.9713050509332071E-3</v>
      </c>
      <c r="Z28" s="1">
        <v>3.9668326709589093E-2</v>
      </c>
      <c r="AA28" s="1">
        <v>-1.9741330891290869E-2</v>
      </c>
      <c r="AB28" s="2">
        <v>0.30482831826448048</v>
      </c>
      <c r="AC28" s="2">
        <v>0.16939521280357461</v>
      </c>
      <c r="AD28" s="2">
        <v>0.22456549287443611</v>
      </c>
      <c r="AE28" s="2">
        <v>0.19241781318277301</v>
      </c>
      <c r="AF28" s="2">
        <v>0.17095210896375621</v>
      </c>
      <c r="AG28" s="1">
        <v>0.1514068546604504</v>
      </c>
      <c r="AH28" s="1">
        <v>3.3039088138910981E-2</v>
      </c>
      <c r="AI28" s="1">
        <v>-6.7292310156835927E-2</v>
      </c>
      <c r="AJ28" s="1">
        <v>-0.10767270800185259</v>
      </c>
      <c r="AK28" s="1">
        <v>-3.2693331338925248E-3</v>
      </c>
      <c r="AL28" s="1">
        <v>-1.5869380182672761E-4</v>
      </c>
      <c r="AM28" s="1">
        <v>4.3728807156365401E-2</v>
      </c>
      <c r="AN28" s="1">
        <v>-3.4562652179688418E-3</v>
      </c>
      <c r="AO28" s="1">
        <v>-4.3901547714696301E-2</v>
      </c>
      <c r="AP28" s="1">
        <v>0.107561790428939</v>
      </c>
      <c r="AQ28" s="1">
        <v>6.2916528360301913E-2</v>
      </c>
      <c r="AR28" s="1">
        <v>1.035457035058833E-2</v>
      </c>
      <c r="AS28" s="1">
        <v>4.4448025451977009E-4</v>
      </c>
      <c r="AT28" s="1">
        <v>-3.6314630331145181E-2</v>
      </c>
      <c r="AU28" s="1">
        <v>-0.1313079638145806</v>
      </c>
      <c r="AV28" s="1">
        <v>-2.8850968917110569E-2</v>
      </c>
      <c r="AW28" s="1">
        <v>6.8598284006467794E-2</v>
      </c>
      <c r="AX28" s="1">
        <v>0.11491532201066799</v>
      </c>
      <c r="AY28" s="1">
        <v>0.13975260583593399</v>
      </c>
      <c r="AZ28" s="1">
        <v>6.113078424333615E-2</v>
      </c>
      <c r="BA28" s="2">
        <v>0.22373838676347171</v>
      </c>
      <c r="BB28" s="1">
        <v>0.14578688655002209</v>
      </c>
      <c r="BC28" s="1">
        <v>3.8645795149811848E-3</v>
      </c>
      <c r="BD28" s="1">
        <v>1.9575351028750351E-2</v>
      </c>
      <c r="BE28" s="1">
        <v>-2.0755955855275461E-2</v>
      </c>
      <c r="BF28" s="1">
        <v>2.501636003599312E-3</v>
      </c>
      <c r="BG28" s="1">
        <v>-1.9137761535241399E-2</v>
      </c>
      <c r="BH28" s="1">
        <v>-8.3538126646470149E-3</v>
      </c>
      <c r="BI28" s="1">
        <v>-1.271464350757787E-2</v>
      </c>
      <c r="BJ28" s="1">
        <v>-6.7111834853459873E-3</v>
      </c>
      <c r="BK28" s="1">
        <v>5.1812026509558698E-2</v>
      </c>
      <c r="BL28" s="1">
        <v>8.1127726563970728E-2</v>
      </c>
      <c r="BM28" s="1">
        <v>-9.7126972629824504E-2</v>
      </c>
      <c r="BN28" s="1">
        <v>-3.0926004971314841E-2</v>
      </c>
      <c r="BO28" s="1">
        <v>1.383078920995252E-2</v>
      </c>
      <c r="BP28" s="1">
        <v>-8.4445869050826669E-2</v>
      </c>
      <c r="BQ28" s="1">
        <v>-3.7860664951097363E-2</v>
      </c>
      <c r="BR28" s="1">
        <v>-1.030011094899416E-3</v>
      </c>
      <c r="BS28" s="1">
        <v>1.047525166295853E-2</v>
      </c>
      <c r="BT28" s="1">
        <v>-1.349231854371149E-2</v>
      </c>
      <c r="BU28" s="1">
        <v>1.9269597852991781E-2</v>
      </c>
      <c r="BV28" s="1">
        <v>-9.6571789611739813E-3</v>
      </c>
      <c r="BW28" s="1">
        <v>1.106506270345621E-2</v>
      </c>
      <c r="BX28" s="1">
        <v>-2.959275675102516E-2</v>
      </c>
      <c r="BY28" s="1">
        <v>1.8248864622766141E-2</v>
      </c>
      <c r="BZ28" s="1">
        <v>-3.1122889140427872E-2</v>
      </c>
      <c r="CA28" s="1">
        <v>2.17460544320064E-2</v>
      </c>
      <c r="CB28" s="1">
        <v>-3.4860465724903963E-2</v>
      </c>
      <c r="CC28" s="1">
        <v>2.9539191639405101E-2</v>
      </c>
      <c r="CD28" s="1">
        <v>-2.8230276213655332E-2</v>
      </c>
      <c r="CE28" s="1">
        <v>1.9616258274753759E-2</v>
      </c>
      <c r="CF28" s="1">
        <v>-3.599044250985238E-2</v>
      </c>
      <c r="CG28" s="1">
        <v>2.6275443734700581E-2</v>
      </c>
      <c r="CH28" s="1">
        <v>-2.6024537019352371E-2</v>
      </c>
      <c r="CI28" s="1">
        <v>1.314926566559056E-2</v>
      </c>
      <c r="CJ28" s="1">
        <v>-1.7259927684750102E-2</v>
      </c>
      <c r="CK28" s="1">
        <v>2.9784906386434492E-3</v>
      </c>
    </row>
    <row r="29" spans="1:89" x14ac:dyDescent="0.2">
      <c r="A29" s="10"/>
      <c r="B29" s="1" t="s">
        <v>2</v>
      </c>
      <c r="C29" s="1">
        <v>0.1058318494615529</v>
      </c>
      <c r="D29" s="1">
        <v>-0.1215166000792853</v>
      </c>
      <c r="E29" s="1">
        <v>-8.0252259170952522E-2</v>
      </c>
      <c r="F29" s="1">
        <v>1.917468685603357E-2</v>
      </c>
      <c r="G29" s="2">
        <v>0.144979089953573</v>
      </c>
      <c r="H29" s="1">
        <v>2.583611344516127E-2</v>
      </c>
      <c r="I29" s="1">
        <v>7.8070758354797543E-2</v>
      </c>
      <c r="J29" s="1">
        <v>6.9722729009513817E-2</v>
      </c>
      <c r="K29" s="1">
        <v>-1.244840507122724E-2</v>
      </c>
      <c r="L29" s="1">
        <v>1.768621399540939E-2</v>
      </c>
      <c r="M29" s="2">
        <v>0.43549952317442231</v>
      </c>
      <c r="N29" s="1">
        <v>0.1148626962198311</v>
      </c>
      <c r="O29" s="1">
        <v>-0.12361381709955351</v>
      </c>
      <c r="P29" s="1">
        <v>0.1019967921471838</v>
      </c>
      <c r="Q29" s="1">
        <v>7.9595397068825235E-2</v>
      </c>
      <c r="R29" s="1">
        <v>3.7651056080705812E-2</v>
      </c>
      <c r="S29" s="1">
        <v>0.1233850870299919</v>
      </c>
      <c r="T29" s="1">
        <v>-7.0253621149164586E-2</v>
      </c>
      <c r="U29" s="1">
        <v>-2.9511230420005159E-2</v>
      </c>
      <c r="V29" s="1">
        <v>-1.433499252587148E-2</v>
      </c>
      <c r="W29" s="1">
        <v>3.4097503899841793E-2</v>
      </c>
      <c r="X29" s="1">
        <v>-7.9350569344144528E-2</v>
      </c>
      <c r="Y29" s="1">
        <v>3.8074216839857573E-2</v>
      </c>
      <c r="Z29" s="1">
        <v>2.3671637213566941E-2</v>
      </c>
      <c r="AA29" s="1">
        <v>-8.1341749418906054E-2</v>
      </c>
      <c r="AB29" s="1">
        <v>3.5536341046026557E-2</v>
      </c>
      <c r="AC29" s="1">
        <v>9.009659249905852E-2</v>
      </c>
      <c r="AD29" s="1">
        <v>-1.8153945986749489E-2</v>
      </c>
      <c r="AE29" s="1">
        <v>-6.0847413821434437E-2</v>
      </c>
      <c r="AF29" s="1">
        <v>1.1738844035192351E-2</v>
      </c>
      <c r="AG29" s="1">
        <v>-3.2215413345696498E-2</v>
      </c>
      <c r="AH29" s="1">
        <v>-9.9109432745933829E-3</v>
      </c>
      <c r="AI29" s="2">
        <v>0.4161083639442375</v>
      </c>
      <c r="AJ29" s="2">
        <v>0.16468242007295111</v>
      </c>
      <c r="AK29" s="1">
        <v>-1.616181747067965E-2</v>
      </c>
      <c r="AL29" s="1">
        <v>1.9655502270009669E-2</v>
      </c>
      <c r="AM29" s="1">
        <v>-2.7628138088655749E-2</v>
      </c>
      <c r="AN29" s="1">
        <v>4.1836499556929703E-2</v>
      </c>
      <c r="AO29" s="1">
        <v>3.4891134007806343E-2</v>
      </c>
      <c r="AP29" s="1">
        <v>-9.4842964599041651E-2</v>
      </c>
      <c r="AQ29" s="1">
        <v>-8.3613864850399094E-2</v>
      </c>
      <c r="AR29" s="1">
        <v>-4.4666544972729531E-2</v>
      </c>
      <c r="AS29" s="1">
        <v>-3.3845402768180391E-3</v>
      </c>
      <c r="AT29" s="1">
        <v>7.8224372358184857E-2</v>
      </c>
      <c r="AU29" s="1">
        <v>0.136688937187771</v>
      </c>
      <c r="AV29" s="1">
        <v>-2.0702458871922048E-2</v>
      </c>
      <c r="AW29" s="1">
        <v>0.11651773700743361</v>
      </c>
      <c r="AX29" s="2">
        <v>0.20038099704792209</v>
      </c>
      <c r="AY29" s="2">
        <v>-0.1927291876105682</v>
      </c>
      <c r="AZ29" s="1">
        <v>-7.1365834139444001E-2</v>
      </c>
      <c r="BA29" s="2">
        <v>0.16436893051495491</v>
      </c>
      <c r="BB29" s="2">
        <v>0.23354079581042819</v>
      </c>
      <c r="BC29" s="2">
        <v>0.16014220415015501</v>
      </c>
      <c r="BD29" s="1">
        <v>5.3290384330185007E-2</v>
      </c>
      <c r="BE29" s="1">
        <v>4.6653158431787918E-2</v>
      </c>
      <c r="BF29" s="1">
        <v>3.9971536526326339E-2</v>
      </c>
      <c r="BG29" s="1">
        <v>-2.5670285655227099E-2</v>
      </c>
      <c r="BH29" s="1">
        <v>-2.2224590210956241E-2</v>
      </c>
      <c r="BI29" s="1">
        <v>-2.77073287081828E-2</v>
      </c>
      <c r="BJ29" s="1">
        <v>7.0446087424840403E-2</v>
      </c>
      <c r="BK29" s="1">
        <v>6.2444362265405683E-3</v>
      </c>
      <c r="BL29" s="1">
        <v>5.3889907817733979E-2</v>
      </c>
      <c r="BM29" s="1">
        <v>3.0231020839787268E-2</v>
      </c>
      <c r="BN29" s="1">
        <v>1.386444453970803E-2</v>
      </c>
      <c r="BO29" s="1">
        <v>-4.7648081153614942E-2</v>
      </c>
      <c r="BP29" s="1">
        <v>-0.1370483750415844</v>
      </c>
      <c r="BQ29" s="1">
        <v>-4.8423947340452377E-2</v>
      </c>
      <c r="BR29" s="1">
        <v>-8.015139086228372E-2</v>
      </c>
      <c r="BS29" s="1">
        <v>5.7927305381687652E-2</v>
      </c>
      <c r="BT29" s="1">
        <v>-0.10986854911339219</v>
      </c>
      <c r="BU29" s="1">
        <v>6.8604369291935585E-2</v>
      </c>
      <c r="BV29" s="1">
        <v>-7.7746404015825374E-2</v>
      </c>
      <c r="BW29" s="1">
        <v>3.8922304828306428E-2</v>
      </c>
      <c r="BX29" s="1">
        <v>-0.1131417834800524</v>
      </c>
      <c r="BY29" s="1">
        <v>3.7953242652641828E-2</v>
      </c>
      <c r="BZ29" s="1">
        <v>-9.8030978571428742E-2</v>
      </c>
      <c r="CA29" s="1">
        <v>5.6642474845658278E-2</v>
      </c>
      <c r="CB29" s="1">
        <v>-0.12802477081311631</v>
      </c>
      <c r="CC29" s="1">
        <v>6.7912741120221318E-2</v>
      </c>
      <c r="CD29" s="2">
        <v>-0.15009336490162481</v>
      </c>
      <c r="CE29" s="1">
        <v>7.7173882058684612E-2</v>
      </c>
      <c r="CF29" s="1">
        <v>-0.108973512630888</v>
      </c>
      <c r="CG29" s="1">
        <v>5.5041169519193932E-2</v>
      </c>
      <c r="CH29" s="1">
        <v>-0.1104325333729871</v>
      </c>
      <c r="CI29" s="1">
        <v>5.0840561137230782E-2</v>
      </c>
      <c r="CJ29" s="1">
        <v>-0.1122549835234823</v>
      </c>
      <c r="CK29" s="1">
        <v>2.972861715012667E-2</v>
      </c>
    </row>
    <row r="30" spans="1:89" x14ac:dyDescent="0.2">
      <c r="A30" s="10"/>
      <c r="B30" s="1" t="s">
        <v>3</v>
      </c>
      <c r="C30" s="1">
        <v>-0.1399199563294119</v>
      </c>
      <c r="D30" s="1">
        <v>5.7792305503679087E-2</v>
      </c>
      <c r="E30" s="1">
        <v>2.6998743561257001E-2</v>
      </c>
      <c r="F30" s="2">
        <v>0.2359294521617453</v>
      </c>
      <c r="G30" s="2">
        <v>-0.19879919383805369</v>
      </c>
      <c r="H30" s="1">
        <v>-6.2801378920212092E-2</v>
      </c>
      <c r="I30" s="1">
        <v>4.8363336072187291E-2</v>
      </c>
      <c r="J30" s="1">
        <v>5.0283219629484947E-2</v>
      </c>
      <c r="K30" s="1">
        <v>9.4012929367074394E-3</v>
      </c>
      <c r="L30" s="1">
        <v>-7.5367943801163961E-3</v>
      </c>
      <c r="M30" s="2">
        <v>0.40885394227502853</v>
      </c>
      <c r="N30" s="2">
        <v>0.3001807482110081</v>
      </c>
      <c r="O30" s="1">
        <v>-6.314227811428734E-2</v>
      </c>
      <c r="P30" s="1">
        <v>4.212609627927788E-2</v>
      </c>
      <c r="Q30" s="1">
        <v>-5.902456065759152E-2</v>
      </c>
      <c r="R30" s="1">
        <v>6.4863448711932484E-3</v>
      </c>
      <c r="S30" s="2">
        <v>-0.1786290769069889</v>
      </c>
      <c r="T30" s="1">
        <v>0.14444489843214139</v>
      </c>
      <c r="U30" s="1">
        <v>7.0741410721755701E-2</v>
      </c>
      <c r="V30" s="1">
        <v>-2.556802016401908E-2</v>
      </c>
      <c r="W30" s="1">
        <v>-8.0921478620654672E-2</v>
      </c>
      <c r="X30" s="1">
        <v>0.1115850034714365</v>
      </c>
      <c r="Y30" s="1">
        <v>-1.200450788018512E-2</v>
      </c>
      <c r="Z30" s="2">
        <v>-0.17284962576429941</v>
      </c>
      <c r="AA30" s="1">
        <v>3.3836527850747637E-2</v>
      </c>
      <c r="AB30" s="1">
        <v>2.8495184390629341E-2</v>
      </c>
      <c r="AC30" s="1">
        <v>-7.8846550983208391E-2</v>
      </c>
      <c r="AD30" s="1">
        <v>9.823122286048902E-2</v>
      </c>
      <c r="AE30" s="1">
        <v>5.7294249086114218E-2</v>
      </c>
      <c r="AF30" s="1">
        <v>-2.9598619005733771E-2</v>
      </c>
      <c r="AG30" s="1">
        <v>5.6254233231238363E-2</v>
      </c>
      <c r="AH30" s="1">
        <v>-4.2956923744217447E-3</v>
      </c>
      <c r="AI30" s="2">
        <v>0.26292593085340582</v>
      </c>
      <c r="AJ30" s="2">
        <v>0.21167432495797731</v>
      </c>
      <c r="AK30" s="1">
        <v>1.60528899299099E-2</v>
      </c>
      <c r="AL30" s="1">
        <v>2.9488995960850429E-3</v>
      </c>
      <c r="AM30" s="1">
        <v>2.1912349739035011E-2</v>
      </c>
      <c r="AN30" s="1">
        <v>1.986178971260151E-2</v>
      </c>
      <c r="AO30" s="1">
        <v>-1.8103136649245781E-2</v>
      </c>
      <c r="AP30" s="1">
        <v>0.12450885880379869</v>
      </c>
      <c r="AQ30" s="1">
        <v>0.12177919031690899</v>
      </c>
      <c r="AR30" s="1">
        <v>3.2364144165175697E-2</v>
      </c>
      <c r="AS30" s="1">
        <v>5.3555822063582337E-3</v>
      </c>
      <c r="AT30" s="1">
        <v>-0.12448464069338749</v>
      </c>
      <c r="AU30" s="1">
        <v>8.1753902717524432E-2</v>
      </c>
      <c r="AV30" s="2">
        <v>0.25785480809779149</v>
      </c>
      <c r="AW30" s="1">
        <v>-0.15946960869610549</v>
      </c>
      <c r="AX30" s="1">
        <v>2.74656107911386E-2</v>
      </c>
      <c r="AY30" s="1">
        <v>4.6078545034826481E-2</v>
      </c>
      <c r="AZ30" s="1">
        <v>5.4118358757926699E-2</v>
      </c>
      <c r="BA30" s="1">
        <v>-4.5853457232836792E-2</v>
      </c>
      <c r="BB30" s="1">
        <v>-6.5470140909088023E-2</v>
      </c>
      <c r="BC30" s="1">
        <v>-4.4050028296984851E-2</v>
      </c>
      <c r="BD30" s="1">
        <v>-3.9798021741306137E-2</v>
      </c>
      <c r="BE30" s="1">
        <v>-2.9551565329811472E-2</v>
      </c>
      <c r="BF30" s="1">
        <v>-5.5100005647470987E-2</v>
      </c>
      <c r="BG30" s="1">
        <v>1.8228950167357032E-2</v>
      </c>
      <c r="BH30" s="1">
        <v>9.0638118509603592E-3</v>
      </c>
      <c r="BI30" s="1">
        <v>5.7108969465671913E-2</v>
      </c>
      <c r="BJ30" s="1">
        <v>-7.4796222196131162E-2</v>
      </c>
      <c r="BK30" s="1">
        <v>6.0413310255623832E-2</v>
      </c>
      <c r="BL30" s="1">
        <v>0.1103028543148744</v>
      </c>
      <c r="BM30" s="1">
        <v>-6.3123337755867176E-2</v>
      </c>
      <c r="BN30" s="1">
        <v>-5.722324661524042E-2</v>
      </c>
      <c r="BO30" s="1">
        <v>-2.352557260706939E-3</v>
      </c>
      <c r="BP30" s="2">
        <v>0.18659094960740061</v>
      </c>
      <c r="BQ30" s="1">
        <v>5.827628975274305E-2</v>
      </c>
      <c r="BR30" s="1">
        <v>5.0576863464298627E-2</v>
      </c>
      <c r="BS30" s="1">
        <v>-4.9047713410503693E-2</v>
      </c>
      <c r="BT30" s="1">
        <v>5.817398086635589E-2</v>
      </c>
      <c r="BU30" s="1">
        <v>-5.8268531646446027E-2</v>
      </c>
      <c r="BV30" s="1">
        <v>7.9980251493474874E-2</v>
      </c>
      <c r="BW30" s="1">
        <v>-5.5424567084410972E-2</v>
      </c>
      <c r="BX30" s="1">
        <v>0.1017001617306659</v>
      </c>
      <c r="BY30" s="1">
        <v>-4.0807416240285589E-2</v>
      </c>
      <c r="BZ30" s="1">
        <v>9.006863156880629E-2</v>
      </c>
      <c r="CA30" s="1">
        <v>-6.8946287842520187E-2</v>
      </c>
      <c r="CB30" s="1">
        <v>0.118935351317556</v>
      </c>
      <c r="CC30" s="1">
        <v>-9.8623961095942847E-2</v>
      </c>
      <c r="CD30" s="1">
        <v>0.1198019558122473</v>
      </c>
      <c r="CE30" s="1">
        <v>-6.0641259122535027E-2</v>
      </c>
      <c r="CF30" s="1">
        <v>0.1010437705512417</v>
      </c>
      <c r="CG30" s="1">
        <v>-5.7287018857005267E-2</v>
      </c>
      <c r="CH30" s="1">
        <v>7.3328334560182687E-2</v>
      </c>
      <c r="CI30" s="1">
        <v>-6.342312463160818E-2</v>
      </c>
      <c r="CJ30" s="1">
        <v>9.9885558261920596E-2</v>
      </c>
      <c r="CK30" s="1">
        <v>-3.2818146213807013E-2</v>
      </c>
    </row>
    <row r="31" spans="1:89" s="6" customFormat="1" ht="32.25" customHeight="1" x14ac:dyDescent="0.2">
      <c r="C31" s="6">
        <f>C7+C17+C25-C9-C13-C19</f>
        <v>1.2429007207032559</v>
      </c>
      <c r="F31" s="6">
        <f>F6+F24+F30</f>
        <v>0.70778835648523586</v>
      </c>
      <c r="G31" s="6">
        <f>G5+G11+G23+G29-G3-G6-G21-G24-G27-G30</f>
        <v>1.6287905506069043</v>
      </c>
      <c r="H31" s="6">
        <f>-H4-H22-H28+H10+H11+H12+H13</f>
        <v>2.2154075427947575</v>
      </c>
      <c r="I31" s="6">
        <f>I4+I8+I14+I19+I22+I28</f>
        <v>1.7291019771754996</v>
      </c>
      <c r="J31" s="6">
        <f>J4+J22+J28</f>
        <v>1.1583714270830427</v>
      </c>
      <c r="M31" s="6">
        <f>M5+M6+M10+M23+M24+M29+M30-M12-M19</f>
        <v>3.1382787126662728</v>
      </c>
      <c r="N31" s="6">
        <f>N6+N24+N30</f>
        <v>0.90054224463302424</v>
      </c>
      <c r="P31" s="6">
        <f>-P9</f>
        <v>0.15299937140922201</v>
      </c>
      <c r="Q31" s="6">
        <f>-Q3-Q21-Q27+Q15+Q17</f>
        <v>1.1213892854525309</v>
      </c>
      <c r="R31" s="6">
        <f>-R9-R10-R14+R13+R17</f>
        <v>1.2097617557618421</v>
      </c>
      <c r="S31" s="6">
        <f>-S4-S6-S22-S24-S28-S30</f>
        <v>1.0653541165235463</v>
      </c>
      <c r="T31" s="6">
        <f>-T9</f>
        <v>0.14567028333685711</v>
      </c>
      <c r="U31" s="6">
        <f>-U3-U21-U27</f>
        <v>1.0167917552263006</v>
      </c>
      <c r="V31" s="6">
        <f>-V7-V10-V25+V8+V9</f>
        <v>1.5865388354691883</v>
      </c>
      <c r="W31" s="6">
        <f>W8+W9</f>
        <v>0.44419351650778294</v>
      </c>
      <c r="X31" s="6">
        <f>-X7-X25+X9</f>
        <v>0.40637066602095395</v>
      </c>
      <c r="Z31" s="6">
        <f>Z3+Z7+Z8+Z10+Z15+Z21+Z25+Z27-Z6-Z24-Z30</f>
        <v>3.3668548434955348</v>
      </c>
      <c r="AA31" s="6">
        <f>AA3+AA21+AA27</f>
        <v>1.1970880044437342</v>
      </c>
      <c r="AB31" s="6">
        <f>AB4+AB22+AB28</f>
        <v>0.9144849547934415</v>
      </c>
      <c r="AC31" s="6">
        <f>+AC4+AC9+AC11+AC22+AC28</f>
        <v>0.85954409022310396</v>
      </c>
      <c r="AD31" s="6">
        <f>AD4+AD22+AD28-AD10</f>
        <v>0.84391346366172404</v>
      </c>
      <c r="AE31" s="6">
        <f>AE4+AE8+AE10+AE13+AE22+AE28-AE3-AE21-AE27</f>
        <v>1.8239265761461791</v>
      </c>
      <c r="AF31" s="6">
        <f>+AF4+AF10+AF22++AF28</f>
        <v>0.72501791526207215</v>
      </c>
      <c r="AG31" s="6">
        <f>AG13</f>
        <v>0.1653340166211808</v>
      </c>
      <c r="AI31" s="6">
        <f>AI3+AI5+AI6+AI21+AI23+AI24+AI27+AI29+AI30</f>
        <v>2.4327581764075994</v>
      </c>
      <c r="AJ31" s="6">
        <f>AJ5+AJ6+AJ23+AJ24+AJ29+AJ30</f>
        <v>1.1290702350927853</v>
      </c>
      <c r="AL31" s="6">
        <f>AL7+AL13+AL25-AL8</f>
        <v>0.81615879550637649</v>
      </c>
      <c r="AN31" s="6">
        <f>AN16+AN17</f>
        <v>0.31292492555333518</v>
      </c>
      <c r="AQ31" s="6">
        <f>AQ8+AQ12-AQ7-AQ25</f>
        <v>0.774227021747524</v>
      </c>
      <c r="AR31" s="6">
        <f>AR9+AR13-AR8</f>
        <v>0.54720223833292736</v>
      </c>
      <c r="AT31" s="6">
        <f>AT8-AT13</f>
        <v>0.49580068686176682</v>
      </c>
      <c r="AU31" s="6">
        <f>AU13</f>
        <v>0.233236658292231</v>
      </c>
      <c r="AV31" s="6">
        <f>AV3+AV6+AV21+AV24+AV27+AV30</f>
        <v>1.13722980850536</v>
      </c>
      <c r="AW31" s="6">
        <f>-AW7-AW25</f>
        <v>0.93781854533121856</v>
      </c>
      <c r="AX31" s="6">
        <f>AX5+AX23+AX29-AX16</f>
        <v>0.75664136123423398</v>
      </c>
      <c r="AY31" s="6">
        <f>-AY5-AY23-AY29</f>
        <v>0.57818756283170458</v>
      </c>
      <c r="AZ31" s="6">
        <f>-AZ7-AZ8-AZ10-AZ18-AZ19-AZ25</f>
        <v>1.2025873193499037</v>
      </c>
      <c r="BA31" s="6">
        <f>BA4+BA5+BA22+BA23+BA28+BA29-BA10</f>
        <v>1.342401128777011</v>
      </c>
      <c r="BB31" s="6">
        <f>BB5+BB19+BB23+BB29</f>
        <v>0.85222548894529471</v>
      </c>
      <c r="BC31" s="6">
        <f>+BC5+BC23+BC29</f>
        <v>0.48042661245046503</v>
      </c>
      <c r="BD31" s="6">
        <f>-BD11-BD18+BD12</f>
        <v>0.49915337472746568</v>
      </c>
      <c r="BE31" s="6">
        <f>BE12</f>
        <v>0.21973279916816851</v>
      </c>
      <c r="BG31" s="6">
        <f>BG17</f>
        <v>0.26835367036734292</v>
      </c>
      <c r="BH31" s="6">
        <f>BH17</f>
        <v>0.26385664746714649</v>
      </c>
      <c r="BI31" s="6">
        <f>+BI17+BI18</f>
        <v>0.55657991411421892</v>
      </c>
      <c r="BJ31" s="6">
        <f>-BJ11+BJ12</f>
        <v>0.4714667723429305</v>
      </c>
      <c r="BK31" s="6">
        <f>BK17</f>
        <v>0.2013044135780212</v>
      </c>
      <c r="BL31" s="6">
        <f>BL3+BL21+BL27</f>
        <v>0.42110004970282355</v>
      </c>
      <c r="BM31" s="6">
        <f>-BM3-BM12-BM21-BM27+BM13+BM18</f>
        <v>0.93849372118598606</v>
      </c>
      <c r="BN31" s="6">
        <f>BN18</f>
        <v>0.1355969737533248</v>
      </c>
      <c r="BO31" s="6">
        <f>BO12-BO11</f>
        <v>0.4999363481559429</v>
      </c>
      <c r="BP31" s="6">
        <f>BP6+BP7+BP9+BP24+BP25+BP30-BP11</f>
        <v>1.9612193837568477</v>
      </c>
      <c r="BQ31" s="6">
        <f>BQ7+BQ25</f>
        <v>0.36364123079681021</v>
      </c>
      <c r="BZ31" s="6">
        <f>BZ14+BZ15+BZ19-BZ18-BZ16</f>
        <v>1.3787929647972481</v>
      </c>
      <c r="CA31" s="6">
        <f>CA16+CA18-CA19-CA15-CA14</f>
        <v>1.2608194621711502</v>
      </c>
      <c r="CB31" s="6">
        <f>CB11-CB12-CB14-CB15-CB16</f>
        <v>1.4439189967990369</v>
      </c>
      <c r="CC31" s="6">
        <f>CC12+CC14+CC15+CC16-CC11</f>
        <v>1.2089490608810736</v>
      </c>
      <c r="CD31" s="6">
        <f>-CD5-CD14-CD17-CD23-CD29+CD11+CD16+CD18+CD19</f>
        <v>1.8997134251410506</v>
      </c>
      <c r="CE31" s="6">
        <f>-CE16-CE19</f>
        <v>0.60131173376034552</v>
      </c>
      <c r="CF31" s="6">
        <f>CF15+CF18-CF16</f>
        <v>0.9236551321353762</v>
      </c>
      <c r="CG31" s="6">
        <f>-CG15-CG18</f>
        <v>0.54814800995950153</v>
      </c>
      <c r="CH31" s="6">
        <f>CH14-CH15</f>
        <v>0.82630441608347227</v>
      </c>
      <c r="CI31" s="6">
        <f>-CI14+CI15</f>
        <v>0.69873445771333276</v>
      </c>
      <c r="CJ31" s="6">
        <f>CJ14-CJ16-CJ17-CJ19</f>
        <v>0.88601047978161407</v>
      </c>
    </row>
    <row r="32" spans="1:89" s="7" customFormat="1" ht="32.25" customHeight="1" x14ac:dyDescent="0.2">
      <c r="C32" s="7">
        <v>7</v>
      </c>
      <c r="F32" s="7">
        <v>4</v>
      </c>
      <c r="G32" s="7">
        <v>19</v>
      </c>
      <c r="H32" s="7">
        <v>11</v>
      </c>
      <c r="I32" s="7">
        <v>10</v>
      </c>
      <c r="J32" s="7">
        <v>7</v>
      </c>
      <c r="M32" s="7">
        <v>14</v>
      </c>
      <c r="N32" s="7">
        <v>4</v>
      </c>
      <c r="P32" s="7">
        <v>1</v>
      </c>
      <c r="Q32" s="7">
        <v>9</v>
      </c>
      <c r="R32" s="7">
        <v>5</v>
      </c>
      <c r="S32" s="7">
        <v>11</v>
      </c>
      <c r="T32" s="7">
        <v>1</v>
      </c>
      <c r="U32" s="7">
        <v>7</v>
      </c>
      <c r="V32" s="7">
        <v>6</v>
      </c>
      <c r="W32" s="7">
        <v>2</v>
      </c>
      <c r="X32" s="7">
        <v>4</v>
      </c>
      <c r="Z32" s="7">
        <v>17</v>
      </c>
      <c r="AA32" s="7">
        <v>7</v>
      </c>
      <c r="AB32" s="7">
        <v>7</v>
      </c>
      <c r="AC32" s="7">
        <v>9</v>
      </c>
      <c r="AD32" s="7">
        <v>8</v>
      </c>
      <c r="AE32" s="7">
        <v>17</v>
      </c>
      <c r="AF32" s="7">
        <v>8</v>
      </c>
      <c r="AG32" s="7">
        <v>1</v>
      </c>
      <c r="AI32" s="7">
        <v>18</v>
      </c>
      <c r="AJ32" s="7">
        <v>11</v>
      </c>
      <c r="AL32" s="7">
        <v>5</v>
      </c>
      <c r="AN32" s="7">
        <v>2</v>
      </c>
      <c r="AQ32" s="7">
        <v>5</v>
      </c>
      <c r="AR32" s="7">
        <v>3</v>
      </c>
      <c r="AT32" s="7">
        <v>2</v>
      </c>
      <c r="AU32" s="7">
        <v>1</v>
      </c>
      <c r="AV32" s="7">
        <v>11</v>
      </c>
      <c r="AW32" s="7">
        <v>3</v>
      </c>
      <c r="AX32" s="7">
        <v>8</v>
      </c>
      <c r="AY32" s="7">
        <v>7</v>
      </c>
      <c r="AZ32" s="7">
        <v>7</v>
      </c>
      <c r="BA32" s="7">
        <v>15</v>
      </c>
      <c r="BB32" s="7">
        <v>8</v>
      </c>
      <c r="BC32" s="7">
        <v>7</v>
      </c>
      <c r="BD32" s="7">
        <v>3</v>
      </c>
      <c r="BE32" s="7">
        <v>1</v>
      </c>
      <c r="BG32" s="7">
        <v>1</v>
      </c>
      <c r="BH32" s="7">
        <v>1</v>
      </c>
      <c r="BI32" s="7">
        <v>2</v>
      </c>
      <c r="BJ32" s="7">
        <v>2</v>
      </c>
      <c r="BK32" s="7">
        <v>1</v>
      </c>
      <c r="BL32" s="7">
        <v>7</v>
      </c>
      <c r="BM32" s="7">
        <v>10</v>
      </c>
      <c r="BN32" s="7">
        <v>1</v>
      </c>
      <c r="BO32" s="7">
        <v>2</v>
      </c>
      <c r="BP32" s="7">
        <v>9</v>
      </c>
      <c r="BQ32" s="7">
        <v>3</v>
      </c>
      <c r="BZ32" s="7">
        <v>5</v>
      </c>
      <c r="CA32" s="7">
        <v>5</v>
      </c>
      <c r="CB32" s="7">
        <v>5</v>
      </c>
      <c r="CC32" s="7">
        <v>5</v>
      </c>
      <c r="CD32" s="7">
        <v>13</v>
      </c>
      <c r="CE32" s="7">
        <v>2</v>
      </c>
      <c r="CF32" s="7">
        <v>3</v>
      </c>
      <c r="CG32" s="7">
        <v>2</v>
      </c>
      <c r="CH32" s="7">
        <v>2</v>
      </c>
      <c r="CI32" s="7">
        <v>2</v>
      </c>
      <c r="CJ32" s="7">
        <v>4</v>
      </c>
    </row>
    <row r="33" spans="3:88" x14ac:dyDescent="0.2">
      <c r="C33" s="1">
        <v>1.2429007207032559</v>
      </c>
      <c r="F33" s="1">
        <v>0.70778835648523586</v>
      </c>
      <c r="G33" s="1">
        <v>1.6287905506069043</v>
      </c>
      <c r="H33" s="1">
        <v>2.2154075427947575</v>
      </c>
      <c r="I33" s="1">
        <v>1.7291019771754996</v>
      </c>
      <c r="J33" s="1">
        <v>1.1583714270830427</v>
      </c>
      <c r="M33" s="1">
        <v>3.1382787126662728</v>
      </c>
      <c r="N33" s="1">
        <v>0.90054224463302424</v>
      </c>
      <c r="P33" s="1">
        <v>0.15299937140922201</v>
      </c>
      <c r="Q33" s="1">
        <v>1.1213892854525309</v>
      </c>
      <c r="R33" s="1">
        <v>1.2097617557618421</v>
      </c>
      <c r="S33" s="1">
        <v>1.0653541165235463</v>
      </c>
      <c r="T33" s="1">
        <v>0.14567028333685711</v>
      </c>
      <c r="U33" s="1">
        <v>1.0167917552263006</v>
      </c>
      <c r="V33" s="1">
        <v>1.5865388354691883</v>
      </c>
      <c r="W33" s="1">
        <v>0.44419351650778294</v>
      </c>
      <c r="X33" s="1">
        <v>0.40637066602095395</v>
      </c>
      <c r="Z33" s="1">
        <v>3.3668548434955348</v>
      </c>
      <c r="AA33" s="1">
        <v>1.1970880044437342</v>
      </c>
      <c r="AB33" s="1">
        <v>0.9144849547934415</v>
      </c>
      <c r="AC33" s="1">
        <v>0.85954409022310396</v>
      </c>
      <c r="AD33" s="1">
        <v>0.84391346366172404</v>
      </c>
      <c r="AE33" s="1">
        <v>1.8239265761461791</v>
      </c>
      <c r="AF33" s="1">
        <v>0.72501791526207215</v>
      </c>
      <c r="AG33" s="1">
        <v>0.1653340166211808</v>
      </c>
      <c r="AI33" s="1">
        <v>2.4327581764075994</v>
      </c>
      <c r="AJ33" s="1">
        <v>1.1290702350927853</v>
      </c>
      <c r="AL33" s="1">
        <v>0.81615879550637649</v>
      </c>
      <c r="AN33" s="1">
        <v>0.31292492555333518</v>
      </c>
      <c r="AQ33" s="1">
        <v>0.774227021747524</v>
      </c>
      <c r="AR33" s="1">
        <v>0.54720223833292736</v>
      </c>
      <c r="AT33" s="1">
        <v>0.49580068686176682</v>
      </c>
      <c r="AU33" s="1">
        <v>0.233236658292231</v>
      </c>
      <c r="AV33" s="1">
        <v>1.13722980850536</v>
      </c>
      <c r="AW33" s="1">
        <v>0.93781854533121856</v>
      </c>
      <c r="AX33" s="1">
        <v>0.75664136123423398</v>
      </c>
      <c r="AY33" s="1">
        <v>0.57818756283170458</v>
      </c>
      <c r="AZ33" s="1">
        <v>1.2025873193499037</v>
      </c>
      <c r="BA33" s="1">
        <v>1.342401128777011</v>
      </c>
      <c r="BB33" s="1">
        <v>0.85222548894529471</v>
      </c>
      <c r="BC33" s="1">
        <v>0.48042661245046503</v>
      </c>
      <c r="BD33" s="1">
        <v>0.49915337472746568</v>
      </c>
      <c r="BE33" s="1">
        <v>0.21973279916816851</v>
      </c>
      <c r="BG33" s="1">
        <v>0.26835367036734292</v>
      </c>
      <c r="BH33" s="1">
        <v>0.26385664746714649</v>
      </c>
      <c r="BI33" s="1">
        <v>0.55657991411421892</v>
      </c>
      <c r="BJ33" s="1">
        <v>0.4714667723429305</v>
      </c>
      <c r="BK33" s="1">
        <v>0.2013044135780212</v>
      </c>
      <c r="BL33" s="1">
        <v>0.42110004970282355</v>
      </c>
      <c r="BM33" s="1">
        <v>0.93849372118598606</v>
      </c>
      <c r="BN33" s="1">
        <v>0.1355969737533248</v>
      </c>
      <c r="BO33" s="1">
        <v>0.4999363481559429</v>
      </c>
      <c r="BP33" s="1">
        <v>1.9612193837568477</v>
      </c>
      <c r="BQ33" s="1">
        <v>0.36364123079681021</v>
      </c>
      <c r="BZ33" s="1">
        <v>1.3787929647972481</v>
      </c>
      <c r="CA33" s="1">
        <v>1.2608194621711502</v>
      </c>
      <c r="CB33" s="1">
        <v>1.4439189967990369</v>
      </c>
      <c r="CC33" s="1">
        <v>1.2089490608810736</v>
      </c>
      <c r="CD33" s="1">
        <v>1.8997134251410506</v>
      </c>
      <c r="CE33" s="1">
        <v>0.60131173376034552</v>
      </c>
      <c r="CF33" s="1">
        <v>0.9236551321353762</v>
      </c>
      <c r="CG33" s="1">
        <v>0.54814800995950153</v>
      </c>
      <c r="CH33" s="1">
        <v>0.82630441608347227</v>
      </c>
      <c r="CI33" s="1">
        <v>0.69873445771333276</v>
      </c>
      <c r="CJ33" s="1">
        <v>0.88601047978161407</v>
      </c>
    </row>
    <row r="34" spans="3:88" x14ac:dyDescent="0.2">
      <c r="C34" s="1">
        <v>7</v>
      </c>
      <c r="F34" s="1">
        <v>4</v>
      </c>
      <c r="G34" s="1">
        <v>19</v>
      </c>
      <c r="H34" s="1">
        <v>11</v>
      </c>
      <c r="I34" s="1">
        <v>10</v>
      </c>
      <c r="J34" s="1">
        <v>7</v>
      </c>
      <c r="M34" s="1">
        <v>14</v>
      </c>
      <c r="N34" s="1">
        <v>4</v>
      </c>
      <c r="P34" s="1">
        <v>1</v>
      </c>
      <c r="Q34" s="1">
        <v>9</v>
      </c>
      <c r="R34" s="1">
        <v>5</v>
      </c>
      <c r="S34" s="1">
        <v>11</v>
      </c>
      <c r="T34" s="1">
        <v>1</v>
      </c>
      <c r="U34" s="1">
        <v>7</v>
      </c>
      <c r="V34" s="1">
        <v>6</v>
      </c>
      <c r="W34" s="1">
        <v>2</v>
      </c>
      <c r="X34" s="1">
        <v>4</v>
      </c>
      <c r="Z34" s="1">
        <v>17</v>
      </c>
      <c r="AA34" s="1">
        <v>7</v>
      </c>
      <c r="AB34" s="1">
        <v>7</v>
      </c>
      <c r="AC34" s="1">
        <v>9</v>
      </c>
      <c r="AD34" s="1">
        <v>8</v>
      </c>
      <c r="AE34" s="1">
        <v>17</v>
      </c>
      <c r="AF34" s="1">
        <v>8</v>
      </c>
      <c r="AG34" s="1">
        <v>1</v>
      </c>
      <c r="AI34" s="1">
        <v>18</v>
      </c>
      <c r="AJ34" s="1">
        <v>11</v>
      </c>
      <c r="AL34" s="1">
        <v>5</v>
      </c>
      <c r="AN34" s="1">
        <v>2</v>
      </c>
      <c r="AQ34" s="1">
        <v>5</v>
      </c>
      <c r="AR34" s="1">
        <v>3</v>
      </c>
      <c r="AT34" s="1">
        <v>2</v>
      </c>
      <c r="AU34" s="1">
        <v>1</v>
      </c>
      <c r="AV34" s="1">
        <v>11</v>
      </c>
      <c r="AW34" s="1">
        <v>3</v>
      </c>
      <c r="AX34" s="1">
        <v>8</v>
      </c>
      <c r="AY34" s="1">
        <v>7</v>
      </c>
      <c r="AZ34" s="1">
        <v>7</v>
      </c>
      <c r="BA34" s="1">
        <v>15</v>
      </c>
      <c r="BB34" s="1">
        <v>8</v>
      </c>
      <c r="BC34" s="1">
        <v>7</v>
      </c>
      <c r="BD34" s="1">
        <v>3</v>
      </c>
      <c r="BE34" s="1">
        <v>1</v>
      </c>
      <c r="BG34" s="1">
        <v>1</v>
      </c>
      <c r="BH34" s="1">
        <v>1</v>
      </c>
      <c r="BI34" s="1">
        <v>2</v>
      </c>
      <c r="BJ34" s="1">
        <v>2</v>
      </c>
      <c r="BK34" s="1">
        <v>1</v>
      </c>
      <c r="BL34" s="1">
        <v>7</v>
      </c>
      <c r="BM34" s="1">
        <v>10</v>
      </c>
      <c r="BN34" s="1">
        <v>1</v>
      </c>
      <c r="BO34" s="1">
        <v>2</v>
      </c>
      <c r="BP34" s="1">
        <v>9</v>
      </c>
      <c r="BQ34" s="1">
        <v>3</v>
      </c>
      <c r="BZ34" s="1">
        <v>5</v>
      </c>
      <c r="CA34" s="1">
        <v>5</v>
      </c>
      <c r="CB34" s="1">
        <v>5</v>
      </c>
      <c r="CC34" s="1">
        <v>5</v>
      </c>
      <c r="CD34" s="1">
        <v>13</v>
      </c>
      <c r="CE34" s="1">
        <v>2</v>
      </c>
      <c r="CF34" s="1">
        <v>3</v>
      </c>
      <c r="CG34" s="1">
        <v>2</v>
      </c>
      <c r="CH34" s="1">
        <v>2</v>
      </c>
      <c r="CI34" s="1">
        <v>2</v>
      </c>
      <c r="CJ34" s="1">
        <v>4</v>
      </c>
    </row>
  </sheetData>
  <mergeCells count="3">
    <mergeCell ref="A27:A30"/>
    <mergeCell ref="A3:A19"/>
    <mergeCell ref="A21:A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34B8-0416-4157-9B78-DE77CF0E5835}">
  <sheetPr codeName="Sheet3"/>
  <dimension ref="A1:CK21"/>
  <sheetViews>
    <sheetView zoomScale="130" zoomScaleNormal="130" workbookViewId="0">
      <selection activeCell="C1" sqref="C1:I1048576"/>
    </sheetView>
  </sheetViews>
  <sheetFormatPr defaultRowHeight="15" x14ac:dyDescent="0.2"/>
  <cols>
    <col min="1" max="16384" width="9" style="1"/>
  </cols>
  <sheetData>
    <row r="1" spans="1:89" x14ac:dyDescent="0.2"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109</v>
      </c>
      <c r="J1" s="4" t="s">
        <v>110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111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4" t="s">
        <v>74</v>
      </c>
      <c r="BD1" s="4" t="s">
        <v>75</v>
      </c>
      <c r="BE1" s="4" t="s">
        <v>76</v>
      </c>
      <c r="BF1" s="4" t="s">
        <v>77</v>
      </c>
      <c r="BG1" s="4" t="s">
        <v>78</v>
      </c>
      <c r="BH1" s="4" t="s">
        <v>79</v>
      </c>
      <c r="BI1" s="4" t="s">
        <v>80</v>
      </c>
      <c r="BJ1" s="4" t="s">
        <v>81</v>
      </c>
      <c r="BK1" s="5" t="s">
        <v>82</v>
      </c>
      <c r="BL1" s="5" t="s">
        <v>83</v>
      </c>
      <c r="BM1" s="5" t="s">
        <v>84</v>
      </c>
      <c r="BN1" s="5" t="s">
        <v>85</v>
      </c>
      <c r="BO1" s="5" t="s">
        <v>86</v>
      </c>
      <c r="BP1" s="4" t="s">
        <v>87</v>
      </c>
      <c r="BQ1" s="4" t="s">
        <v>88</v>
      </c>
      <c r="BR1" s="5" t="s">
        <v>89</v>
      </c>
      <c r="BS1" s="5" t="s">
        <v>90</v>
      </c>
      <c r="BT1" s="5" t="s">
        <v>91</v>
      </c>
      <c r="BU1" s="5" t="s">
        <v>92</v>
      </c>
      <c r="BV1" s="5" t="s">
        <v>93</v>
      </c>
      <c r="BW1" s="5" t="s">
        <v>94</v>
      </c>
      <c r="BX1" s="5" t="s">
        <v>95</v>
      </c>
      <c r="BY1" s="5" t="s">
        <v>96</v>
      </c>
      <c r="BZ1" s="5" t="s">
        <v>97</v>
      </c>
      <c r="CA1" s="5" t="s">
        <v>98</v>
      </c>
      <c r="CB1" s="5" t="s">
        <v>99</v>
      </c>
      <c r="CC1" s="5" t="s">
        <v>100</v>
      </c>
      <c r="CD1" s="5" t="s">
        <v>101</v>
      </c>
      <c r="CE1" s="5" t="s">
        <v>102</v>
      </c>
      <c r="CF1" s="5" t="s">
        <v>103</v>
      </c>
      <c r="CG1" s="5" t="s">
        <v>104</v>
      </c>
      <c r="CH1" s="5" t="s">
        <v>105</v>
      </c>
      <c r="CI1" s="5" t="s">
        <v>106</v>
      </c>
      <c r="CJ1" s="5" t="s">
        <v>107</v>
      </c>
      <c r="CK1" s="5" t="s">
        <v>108</v>
      </c>
    </row>
    <row r="2" spans="1:89" s="3" customFormat="1" ht="18.75" x14ac:dyDescent="0.2">
      <c r="C2" s="3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  <c r="AI2" s="3">
        <v>32</v>
      </c>
      <c r="AJ2" s="3">
        <v>33</v>
      </c>
      <c r="AK2" s="3">
        <v>34</v>
      </c>
      <c r="AL2" s="3">
        <v>35</v>
      </c>
      <c r="AM2" s="3">
        <v>36</v>
      </c>
      <c r="AN2" s="3">
        <v>37</v>
      </c>
      <c r="AO2" s="3">
        <v>38</v>
      </c>
      <c r="AP2" s="3">
        <v>39</v>
      </c>
      <c r="AQ2" s="3">
        <v>40</v>
      </c>
      <c r="AR2" s="3">
        <v>41</v>
      </c>
      <c r="AS2" s="3">
        <v>42</v>
      </c>
      <c r="AT2" s="3">
        <v>43</v>
      </c>
      <c r="AU2" s="3">
        <v>44</v>
      </c>
      <c r="AV2" s="3">
        <v>45</v>
      </c>
      <c r="AW2" s="3">
        <v>46</v>
      </c>
      <c r="AX2" s="3">
        <v>47</v>
      </c>
      <c r="AY2" s="3">
        <v>48</v>
      </c>
      <c r="AZ2" s="3">
        <v>49</v>
      </c>
      <c r="BA2" s="3">
        <v>50</v>
      </c>
      <c r="BB2" s="3">
        <v>51</v>
      </c>
      <c r="BC2" s="3">
        <v>52</v>
      </c>
      <c r="BD2" s="3">
        <v>53</v>
      </c>
      <c r="BE2" s="3">
        <v>54</v>
      </c>
      <c r="BF2" s="3">
        <v>55</v>
      </c>
      <c r="BG2" s="3">
        <v>56</v>
      </c>
      <c r="BH2" s="3">
        <v>57</v>
      </c>
      <c r="BI2" s="3">
        <v>58</v>
      </c>
      <c r="BJ2" s="3">
        <v>59</v>
      </c>
      <c r="BK2" s="3">
        <v>60</v>
      </c>
      <c r="BL2" s="3">
        <v>61</v>
      </c>
      <c r="BM2" s="3">
        <v>62</v>
      </c>
      <c r="BN2" s="3">
        <v>63</v>
      </c>
      <c r="BO2" s="3">
        <v>64</v>
      </c>
      <c r="BP2" s="3">
        <v>65</v>
      </c>
      <c r="BQ2" s="3">
        <v>66</v>
      </c>
      <c r="BR2" s="3">
        <v>67</v>
      </c>
      <c r="BS2" s="3">
        <v>68</v>
      </c>
      <c r="BT2" s="3">
        <v>69</v>
      </c>
      <c r="BU2" s="3">
        <v>70</v>
      </c>
      <c r="BV2" s="3">
        <v>71</v>
      </c>
      <c r="BW2" s="3">
        <v>72</v>
      </c>
      <c r="BX2" s="3">
        <v>73</v>
      </c>
      <c r="BY2" s="3">
        <v>74</v>
      </c>
      <c r="BZ2" s="3">
        <v>75</v>
      </c>
      <c r="CA2" s="3">
        <v>76</v>
      </c>
      <c r="CB2" s="3">
        <v>77</v>
      </c>
      <c r="CC2" s="3">
        <v>78</v>
      </c>
      <c r="CD2" s="3">
        <v>79</v>
      </c>
      <c r="CE2" s="3">
        <v>80</v>
      </c>
      <c r="CF2" s="3">
        <v>81</v>
      </c>
      <c r="CG2" s="3">
        <v>82</v>
      </c>
      <c r="CH2" s="3">
        <v>83</v>
      </c>
      <c r="CI2" s="3">
        <v>84</v>
      </c>
      <c r="CJ2" s="3">
        <v>85</v>
      </c>
      <c r="CK2" s="3">
        <v>86</v>
      </c>
    </row>
    <row r="3" spans="1:89" x14ac:dyDescent="0.2">
      <c r="A3" s="10" t="s">
        <v>7</v>
      </c>
      <c r="B3" s="1" t="s">
        <v>0</v>
      </c>
      <c r="C3" s="1">
        <v>-2.151385441162907E-2</v>
      </c>
      <c r="D3" s="1">
        <v>-7.3490606030039984E-2</v>
      </c>
      <c r="E3" s="1">
        <v>-4.7311431194689717E-2</v>
      </c>
      <c r="F3" s="1">
        <v>-8.9627615555936346E-2</v>
      </c>
      <c r="G3" s="2">
        <v>-0.14790099271163659</v>
      </c>
      <c r="H3" s="1">
        <v>-6.559319494735126E-2</v>
      </c>
      <c r="I3" s="2">
        <v>-0.1568617334293208</v>
      </c>
      <c r="J3" s="2">
        <v>-0.16626578276016141</v>
      </c>
      <c r="K3" s="1">
        <v>-6.4998100331692316E-2</v>
      </c>
      <c r="L3" s="1">
        <v>6.0670875824228462E-2</v>
      </c>
      <c r="M3" s="1">
        <v>-9.7903864318699643E-2</v>
      </c>
      <c r="N3" s="1">
        <v>-2.2973280959255719E-2</v>
      </c>
      <c r="O3" s="1">
        <v>-9.1876077800418746E-2</v>
      </c>
      <c r="P3" s="1">
        <v>7.6650435340762907E-2</v>
      </c>
      <c r="Q3" s="2">
        <v>-0.28919397084253662</v>
      </c>
      <c r="R3" s="1">
        <v>6.5357031210626776E-3</v>
      </c>
      <c r="S3" s="1">
        <v>-6.587723953496169E-2</v>
      </c>
      <c r="T3" s="1">
        <v>6.0718476843336602E-2</v>
      </c>
      <c r="U3" s="2">
        <v>-0.31840761311270938</v>
      </c>
      <c r="V3" s="1">
        <v>6.2899118452744526E-2</v>
      </c>
      <c r="W3" s="1">
        <v>-6.381911318561774E-2</v>
      </c>
      <c r="X3" s="1">
        <v>0.11041302804187141</v>
      </c>
      <c r="Y3" s="1">
        <v>-9.7097522726212141E-3</v>
      </c>
      <c r="Z3" s="2">
        <v>0.55275197143301646</v>
      </c>
      <c r="AA3" s="2">
        <v>0.40170389821007502</v>
      </c>
      <c r="AB3" s="1">
        <v>-8.8515543581838871E-2</v>
      </c>
      <c r="AC3" s="1">
        <v>-0.1024207132222047</v>
      </c>
      <c r="AD3" s="1">
        <v>1.54962647388933E-2</v>
      </c>
      <c r="AE3" s="2">
        <v>-0.15450320865847161</v>
      </c>
      <c r="AF3" s="1">
        <v>-9.0614004541062873E-2</v>
      </c>
      <c r="AG3" s="1">
        <v>-8.9663717358317477E-2</v>
      </c>
      <c r="AH3" s="1">
        <v>-2.2207158060914549E-2</v>
      </c>
      <c r="AI3" s="1">
        <v>0.1203193822871679</v>
      </c>
      <c r="AJ3" s="1">
        <v>0.1048966004867756</v>
      </c>
      <c r="AK3" s="1">
        <v>3.9327180534247446E-3</v>
      </c>
      <c r="AL3" s="1">
        <v>-2.1689627916943319E-2</v>
      </c>
      <c r="AM3" s="1">
        <v>-7.696745412035709E-3</v>
      </c>
      <c r="AN3" s="1">
        <v>6.2247578818724093E-2</v>
      </c>
      <c r="AO3" s="1">
        <v>1.8847630813227829E-2</v>
      </c>
      <c r="AP3" s="1">
        <v>3.3237763022730793E-2</v>
      </c>
      <c r="AQ3" s="1">
        <v>6.3338545872137941E-2</v>
      </c>
      <c r="AR3" s="1">
        <v>-1.2592103409018521E-2</v>
      </c>
      <c r="AS3" s="1">
        <v>4.5934546850871331E-3</v>
      </c>
      <c r="AT3" s="1">
        <v>-8.6385548157370123E-2</v>
      </c>
      <c r="AU3" s="1">
        <v>4.9250635714898933E-2</v>
      </c>
      <c r="AV3" s="2">
        <v>0.1371955807963606</v>
      </c>
      <c r="AW3" s="1">
        <v>4.2444797295070447E-2</v>
      </c>
      <c r="AX3" s="1">
        <v>1.9366297241357511E-2</v>
      </c>
      <c r="AY3" s="1">
        <v>-2.267509111318658E-2</v>
      </c>
      <c r="AZ3" s="1">
        <v>7.7224165521787139E-2</v>
      </c>
      <c r="BA3" s="1">
        <v>-3.6736197483161502E-2</v>
      </c>
      <c r="BB3" s="1">
        <v>-7.6097317297962361E-2</v>
      </c>
      <c r="BC3" s="1">
        <v>-9.9166200264456019E-3</v>
      </c>
      <c r="BD3" s="1">
        <v>-2.0555969708238239E-2</v>
      </c>
      <c r="BE3" s="1">
        <v>-1.33899777327452E-2</v>
      </c>
      <c r="BF3" s="1">
        <v>3.6223131048635179E-3</v>
      </c>
      <c r="BG3" s="1">
        <v>-2.9701953556575708E-3</v>
      </c>
      <c r="BH3" s="1">
        <v>6.3996469647918941E-3</v>
      </c>
      <c r="BI3" s="1">
        <v>-7.3546598814987598E-3</v>
      </c>
      <c r="BJ3" s="1">
        <v>-3.0983659131941488E-3</v>
      </c>
      <c r="BK3" s="1">
        <v>0.1023388119030456</v>
      </c>
      <c r="BL3" s="2">
        <v>0.13729898673818899</v>
      </c>
      <c r="BM3" s="1">
        <v>-0.1196044828063856</v>
      </c>
      <c r="BN3" s="1">
        <v>-3.8082319970451993E-2</v>
      </c>
      <c r="BO3" s="1">
        <v>3.8473603466028378E-2</v>
      </c>
      <c r="BP3" s="1">
        <v>-5.5539560572105399E-2</v>
      </c>
      <c r="BQ3" s="1">
        <v>-8.8959140538354131E-3</v>
      </c>
      <c r="BR3" s="1">
        <v>8.7163047895183095E-3</v>
      </c>
      <c r="BS3" s="1">
        <v>-7.1507915301634627E-3</v>
      </c>
      <c r="BT3" s="1">
        <v>-6.9359955484062626E-3</v>
      </c>
      <c r="BU3" s="1">
        <v>1.2797709169688871E-3</v>
      </c>
      <c r="BV3" s="1">
        <v>-9.7380038240132919E-3</v>
      </c>
      <c r="BW3" s="1">
        <v>-1.9987192088035152E-3</v>
      </c>
      <c r="BX3" s="1">
        <v>-2.8758664082005271E-3</v>
      </c>
      <c r="BY3" s="1">
        <v>-4.0004340933596253E-3</v>
      </c>
      <c r="BZ3" s="1">
        <v>5.9760710145934579E-3</v>
      </c>
      <c r="CA3" s="1">
        <v>-1.085756949321524E-2</v>
      </c>
      <c r="CB3" s="1">
        <v>1.4618356365008141E-2</v>
      </c>
      <c r="CC3" s="1">
        <v>-1.527095916202225E-2</v>
      </c>
      <c r="CD3" s="1">
        <v>-2.944197990588945E-2</v>
      </c>
      <c r="CE3" s="1">
        <v>2.2762295648808901E-2</v>
      </c>
      <c r="CF3" s="1">
        <v>-1.795394764472243E-2</v>
      </c>
      <c r="CG3" s="1">
        <v>1.31993035396193E-2</v>
      </c>
      <c r="CH3" s="1">
        <v>-9.2416370230727317E-3</v>
      </c>
      <c r="CI3" s="1">
        <v>1.0424755272625459E-2</v>
      </c>
      <c r="CJ3" s="1">
        <v>-6.1417665257253069E-3</v>
      </c>
      <c r="CK3" s="1">
        <v>6.4134889751426584E-4</v>
      </c>
    </row>
    <row r="4" spans="1:89" x14ac:dyDescent="0.2">
      <c r="A4" s="10"/>
      <c r="B4" s="1" t="s">
        <v>1</v>
      </c>
      <c r="C4" s="1">
        <v>-9.07993000851013E-2</v>
      </c>
      <c r="D4" s="1">
        <v>9.8128037583185224E-2</v>
      </c>
      <c r="E4" s="1">
        <v>6.256312217576665E-2</v>
      </c>
      <c r="F4" s="1">
        <v>-3.208396375827427E-2</v>
      </c>
      <c r="G4" s="1">
        <v>-0.1475474321969534</v>
      </c>
      <c r="H4" s="2">
        <v>-0.32425352569313398</v>
      </c>
      <c r="I4" s="2">
        <v>0.32983318562807551</v>
      </c>
      <c r="J4" s="2">
        <v>0.28201906980417768</v>
      </c>
      <c r="K4" s="1">
        <v>1.9619424218128862E-3</v>
      </c>
      <c r="L4" s="1">
        <v>-2.1673251354762731E-2</v>
      </c>
      <c r="M4" s="1">
        <v>-0.16725475706939091</v>
      </c>
      <c r="N4" s="1">
        <v>-0.115089163522169</v>
      </c>
      <c r="O4" s="1">
        <v>5.6202250660606162E-2</v>
      </c>
      <c r="P4" s="1">
        <v>-0.1230386562050628</v>
      </c>
      <c r="Q4" s="1">
        <v>-6.4616795436844093E-2</v>
      </c>
      <c r="R4" s="1">
        <v>-0.11924882480860539</v>
      </c>
      <c r="S4" s="2">
        <v>-0.25130516436775407</v>
      </c>
      <c r="T4" s="1">
        <v>9.9047123500672532E-2</v>
      </c>
      <c r="U4" s="1">
        <v>-2.822022140972013E-2</v>
      </c>
      <c r="V4" s="1">
        <v>-6.4195345497376197E-2</v>
      </c>
      <c r="W4" s="1">
        <v>-0.1407664771072121</v>
      </c>
      <c r="X4" s="1">
        <v>6.5919797537466004E-2</v>
      </c>
      <c r="Y4" s="1">
        <v>-3.6310244107391483E-2</v>
      </c>
      <c r="Z4" s="1">
        <v>6.3937579280220758E-2</v>
      </c>
      <c r="AA4" s="1">
        <v>6.1362975850324193E-2</v>
      </c>
      <c r="AB4" s="2">
        <v>0.25462406706726542</v>
      </c>
      <c r="AC4" s="1">
        <v>9.9580703486616254E-2</v>
      </c>
      <c r="AD4" s="2">
        <v>0.22195593216859191</v>
      </c>
      <c r="AE4" s="2">
        <v>0.18039039045822361</v>
      </c>
      <c r="AF4" s="1">
        <v>0.13031545369906919</v>
      </c>
      <c r="AG4" s="1">
        <v>0.13074682723089939</v>
      </c>
      <c r="AH4" s="1">
        <v>4.051397926849052E-2</v>
      </c>
      <c r="AI4" s="2">
        <v>-0.17264972864876871</v>
      </c>
      <c r="AJ4" s="1">
        <v>-0.1299163482910555</v>
      </c>
      <c r="AK4" s="1">
        <v>8.6187455547014659E-3</v>
      </c>
      <c r="AL4" s="1">
        <v>2.387651003546971E-4</v>
      </c>
      <c r="AM4" s="1">
        <v>6.4265883749702157E-2</v>
      </c>
      <c r="AN4" s="1">
        <v>-8.9551281165065003E-3</v>
      </c>
      <c r="AO4" s="1">
        <v>-6.5218964762992437E-2</v>
      </c>
      <c r="AP4" s="2">
        <v>0.17088836146633021</v>
      </c>
      <c r="AQ4" s="1">
        <v>0.1076976487888975</v>
      </c>
      <c r="AR4" s="1">
        <v>4.5531553919268247E-2</v>
      </c>
      <c r="AS4" s="1">
        <v>3.8573436495810669E-3</v>
      </c>
      <c r="AT4" s="1">
        <v>-9.4191040600538262E-2</v>
      </c>
      <c r="AU4" s="1">
        <v>-0.15497691500385649</v>
      </c>
      <c r="AV4" s="1">
        <v>3.0648953293237389E-2</v>
      </c>
      <c r="AW4" s="1">
        <v>-1.9800849385256499E-2</v>
      </c>
      <c r="AX4" s="1">
        <v>4.5578321287516772E-2</v>
      </c>
      <c r="AY4" s="2">
        <v>0.22387184356968151</v>
      </c>
      <c r="AZ4" s="1">
        <v>0.12699920210148269</v>
      </c>
      <c r="BA4" s="1">
        <v>0.124340985305054</v>
      </c>
      <c r="BB4" s="1">
        <v>5.7410160626954832E-3</v>
      </c>
      <c r="BC4" s="1">
        <v>-9.4008620317083555E-2</v>
      </c>
      <c r="BD4" s="1">
        <v>5.9778714349880309E-3</v>
      </c>
      <c r="BE4" s="1">
        <v>-4.2726624504437212E-2</v>
      </c>
      <c r="BF4" s="1">
        <v>-2.455641157176456E-2</v>
      </c>
      <c r="BG4" s="1">
        <v>-9.959954121887141E-3</v>
      </c>
      <c r="BH4" s="1">
        <v>-9.187045762157656E-3</v>
      </c>
      <c r="BI4" s="1">
        <v>-9.6484688440521514E-3</v>
      </c>
      <c r="BJ4" s="1">
        <v>-4.2173713530548759E-2</v>
      </c>
      <c r="BK4" s="1">
        <v>7.0289432894531712E-2</v>
      </c>
      <c r="BL4" s="1">
        <v>0.1017222331885069</v>
      </c>
      <c r="BM4" s="1">
        <v>-0.12715876304211171</v>
      </c>
      <c r="BN4" s="1">
        <v>-4.3549813505425992E-2</v>
      </c>
      <c r="BO4" s="1">
        <v>3.9508600025567088E-2</v>
      </c>
      <c r="BP4" s="1">
        <v>2.2633329493221159E-2</v>
      </c>
      <c r="BQ4" s="1">
        <v>-3.1735561188695068E-3</v>
      </c>
      <c r="BR4" s="1">
        <v>3.9521001261441903E-2</v>
      </c>
      <c r="BS4" s="1">
        <v>-2.036581168006462E-2</v>
      </c>
      <c r="BT4" s="1">
        <v>3.393790283320447E-2</v>
      </c>
      <c r="BU4" s="1">
        <v>-1.307001546177514E-2</v>
      </c>
      <c r="BV4" s="1">
        <v>3.904199824180811E-2</v>
      </c>
      <c r="BW4" s="1">
        <v>-2.468096801458285E-2</v>
      </c>
      <c r="BX4" s="1">
        <v>3.2047681970026713E-2</v>
      </c>
      <c r="BY4" s="1">
        <v>-3.9872126800903152E-3</v>
      </c>
      <c r="BZ4" s="1">
        <v>1.8294708952216871E-2</v>
      </c>
      <c r="CA4" s="1">
        <v>-9.9367175831475696E-3</v>
      </c>
      <c r="CB4" s="1">
        <v>3.2132668159630992E-2</v>
      </c>
      <c r="CC4" s="1">
        <v>-1.4454068755676119E-2</v>
      </c>
      <c r="CD4" s="1">
        <v>4.2096258573565068E-2</v>
      </c>
      <c r="CE4" s="1">
        <v>-2.0304593764823329E-2</v>
      </c>
      <c r="CF4" s="1">
        <v>1.1277842465314381E-2</v>
      </c>
      <c r="CG4" s="1">
        <v>3.070925474406168E-3</v>
      </c>
      <c r="CH4" s="1">
        <v>4.1915565343953423E-2</v>
      </c>
      <c r="CI4" s="1">
        <v>-2.8329512492843309E-2</v>
      </c>
      <c r="CJ4" s="1">
        <v>4.3889264448348321E-2</v>
      </c>
      <c r="CK4" s="1">
        <v>-1.298240451036041E-2</v>
      </c>
    </row>
    <row r="6" spans="1:89" x14ac:dyDescent="0.2">
      <c r="A6" s="10" t="s">
        <v>8</v>
      </c>
      <c r="B6" s="1" t="s">
        <v>0</v>
      </c>
      <c r="C6" s="1">
        <v>-2.151385441162907E-2</v>
      </c>
      <c r="D6" s="1">
        <v>-7.3490606030039984E-2</v>
      </c>
      <c r="E6" s="1">
        <v>-4.7311431194689717E-2</v>
      </c>
      <c r="F6" s="1">
        <v>-8.9627615555936346E-2</v>
      </c>
      <c r="G6" s="2">
        <v>-0.14790099271163659</v>
      </c>
      <c r="H6" s="1">
        <v>-6.559319494735126E-2</v>
      </c>
      <c r="I6" s="2">
        <v>-0.1568617334293208</v>
      </c>
      <c r="J6" s="2">
        <v>-0.16626578276016141</v>
      </c>
      <c r="K6" s="1">
        <v>-6.4998100331692316E-2</v>
      </c>
      <c r="L6" s="1">
        <v>6.0670875824228462E-2</v>
      </c>
      <c r="M6" s="1">
        <v>-9.7903864318699643E-2</v>
      </c>
      <c r="N6" s="1">
        <v>-2.2973280959255719E-2</v>
      </c>
      <c r="O6" s="1">
        <v>-9.1876077800418746E-2</v>
      </c>
      <c r="P6" s="1">
        <v>7.6650435340762907E-2</v>
      </c>
      <c r="Q6" s="2">
        <v>-0.28919397084253662</v>
      </c>
      <c r="R6" s="1">
        <v>6.5357031210626776E-3</v>
      </c>
      <c r="S6" s="1">
        <v>-6.587723953496169E-2</v>
      </c>
      <c r="T6" s="1">
        <v>6.0718476843336602E-2</v>
      </c>
      <c r="U6" s="2">
        <v>-0.31840761311270938</v>
      </c>
      <c r="V6" s="1">
        <v>6.2899118452744526E-2</v>
      </c>
      <c r="W6" s="1">
        <v>-6.381911318561774E-2</v>
      </c>
      <c r="X6" s="1">
        <v>0.11041302804187141</v>
      </c>
      <c r="Y6" s="1">
        <v>-9.7097522726212141E-3</v>
      </c>
      <c r="Z6" s="2">
        <v>0.55275197143301646</v>
      </c>
      <c r="AA6" s="2">
        <v>0.40170389821007502</v>
      </c>
      <c r="AB6" s="1">
        <v>-8.8515543581838871E-2</v>
      </c>
      <c r="AC6" s="1">
        <v>-0.1024207132222047</v>
      </c>
      <c r="AD6" s="1">
        <v>1.54962647388933E-2</v>
      </c>
      <c r="AE6" s="2">
        <v>-0.15450320865847161</v>
      </c>
      <c r="AF6" s="1">
        <v>-9.0614004541062873E-2</v>
      </c>
      <c r="AG6" s="1">
        <v>-8.9663717358317477E-2</v>
      </c>
      <c r="AH6" s="1">
        <v>-2.2207158060914549E-2</v>
      </c>
      <c r="AI6" s="1">
        <v>0.1203193822871679</v>
      </c>
      <c r="AJ6" s="1">
        <v>0.1048966004867756</v>
      </c>
      <c r="AK6" s="1">
        <v>3.9327180534247446E-3</v>
      </c>
      <c r="AL6" s="1">
        <v>-2.1689627916943319E-2</v>
      </c>
      <c r="AM6" s="1">
        <v>-7.696745412035709E-3</v>
      </c>
      <c r="AN6" s="1">
        <v>6.2247578818724093E-2</v>
      </c>
      <c r="AO6" s="1">
        <v>1.8847630813227829E-2</v>
      </c>
      <c r="AP6" s="1">
        <v>3.3237763022730793E-2</v>
      </c>
      <c r="AQ6" s="1">
        <v>6.3338545872137941E-2</v>
      </c>
      <c r="AR6" s="1">
        <v>-1.2592103409018521E-2</v>
      </c>
      <c r="AS6" s="1">
        <v>4.5934546850871331E-3</v>
      </c>
      <c r="AT6" s="1">
        <v>-8.6385548157370123E-2</v>
      </c>
      <c r="AU6" s="1">
        <v>4.9250635714898933E-2</v>
      </c>
      <c r="AV6" s="2">
        <v>0.1371955807963606</v>
      </c>
      <c r="AW6" s="1">
        <v>4.2444797295070447E-2</v>
      </c>
      <c r="AX6" s="1">
        <v>1.9366297241357511E-2</v>
      </c>
      <c r="AY6" s="1">
        <v>-2.267509111318658E-2</v>
      </c>
      <c r="AZ6" s="1">
        <v>7.7224165521787139E-2</v>
      </c>
      <c r="BA6" s="1">
        <v>-3.6736197483161502E-2</v>
      </c>
      <c r="BB6" s="1">
        <v>-7.6097317297962361E-2</v>
      </c>
      <c r="BC6" s="1">
        <v>-9.9166200264456019E-3</v>
      </c>
      <c r="BD6" s="1">
        <v>-2.0555969708238239E-2</v>
      </c>
      <c r="BE6" s="1">
        <v>-1.33899777327452E-2</v>
      </c>
      <c r="BF6" s="1">
        <v>3.6223131048635179E-3</v>
      </c>
      <c r="BG6" s="1">
        <v>-2.9701953556575708E-3</v>
      </c>
      <c r="BH6" s="1">
        <v>6.3996469647918941E-3</v>
      </c>
      <c r="BI6" s="1">
        <v>-7.3546598814987598E-3</v>
      </c>
      <c r="BJ6" s="1">
        <v>-3.0983659131941488E-3</v>
      </c>
      <c r="BK6" s="1">
        <v>0.1023388119030456</v>
      </c>
      <c r="BL6" s="2">
        <v>0.13729898673818899</v>
      </c>
      <c r="BM6" s="1">
        <v>-0.1196044828063856</v>
      </c>
      <c r="BN6" s="1">
        <v>-3.8082319970451993E-2</v>
      </c>
      <c r="BO6" s="1">
        <v>3.8473603466028378E-2</v>
      </c>
      <c r="BP6" s="1">
        <v>-5.5539560572105399E-2</v>
      </c>
      <c r="BQ6" s="1">
        <v>-8.8959140538354131E-3</v>
      </c>
      <c r="BR6" s="1">
        <v>8.7163047895183095E-3</v>
      </c>
      <c r="BS6" s="1">
        <v>-7.1507915301634627E-3</v>
      </c>
      <c r="BT6" s="1">
        <v>-6.9359955484062626E-3</v>
      </c>
      <c r="BU6" s="1">
        <v>1.2797709169688871E-3</v>
      </c>
      <c r="BV6" s="1">
        <v>-9.7380038240132919E-3</v>
      </c>
      <c r="BW6" s="1">
        <v>-1.9987192088035152E-3</v>
      </c>
      <c r="BX6" s="1">
        <v>-2.8758664082005271E-3</v>
      </c>
      <c r="BY6" s="1">
        <v>-4.0004340933596253E-3</v>
      </c>
      <c r="BZ6" s="1">
        <v>5.9760710145934579E-3</v>
      </c>
      <c r="CA6" s="1">
        <v>-1.085756949321524E-2</v>
      </c>
      <c r="CB6" s="1">
        <v>1.4618356365008141E-2</v>
      </c>
      <c r="CC6" s="1">
        <v>-1.527095916202225E-2</v>
      </c>
      <c r="CD6" s="1">
        <v>-2.944197990588945E-2</v>
      </c>
      <c r="CE6" s="1">
        <v>2.2762295648808901E-2</v>
      </c>
      <c r="CF6" s="1">
        <v>-1.795394764472243E-2</v>
      </c>
      <c r="CG6" s="1">
        <v>1.31993035396193E-2</v>
      </c>
      <c r="CH6" s="1">
        <v>-9.2416370230727317E-3</v>
      </c>
      <c r="CI6" s="1">
        <v>1.0424755272625459E-2</v>
      </c>
      <c r="CJ6" s="1">
        <v>-6.1417665257253069E-3</v>
      </c>
      <c r="CK6" s="1">
        <v>6.4134889751426584E-4</v>
      </c>
    </row>
    <row r="7" spans="1:89" x14ac:dyDescent="0.2">
      <c r="A7" s="10"/>
      <c r="B7" s="1" t="s">
        <v>1</v>
      </c>
      <c r="C7" s="1">
        <v>-9.07993000851013E-2</v>
      </c>
      <c r="D7" s="1">
        <v>9.8128037583185224E-2</v>
      </c>
      <c r="E7" s="1">
        <v>6.256312217576665E-2</v>
      </c>
      <c r="F7" s="1">
        <v>-3.208396375827427E-2</v>
      </c>
      <c r="G7" s="1">
        <v>-0.1475474321969534</v>
      </c>
      <c r="H7" s="2">
        <v>-0.32425352569313398</v>
      </c>
      <c r="I7" s="2">
        <v>0.32983318562807551</v>
      </c>
      <c r="J7" s="2">
        <v>0.28201906980417768</v>
      </c>
      <c r="K7" s="1">
        <v>1.9619424218128862E-3</v>
      </c>
      <c r="L7" s="1">
        <v>-2.1673251354762731E-2</v>
      </c>
      <c r="M7" s="1">
        <v>-0.16725475706939091</v>
      </c>
      <c r="N7" s="1">
        <v>-0.115089163522169</v>
      </c>
      <c r="O7" s="1">
        <v>5.6202250660606162E-2</v>
      </c>
      <c r="P7" s="1">
        <v>-0.1230386562050628</v>
      </c>
      <c r="Q7" s="1">
        <v>-6.4616795436844093E-2</v>
      </c>
      <c r="R7" s="1">
        <v>-0.11924882480860539</v>
      </c>
      <c r="S7" s="2">
        <v>-0.25130516436775407</v>
      </c>
      <c r="T7" s="1">
        <v>9.9047123500672532E-2</v>
      </c>
      <c r="U7" s="1">
        <v>-2.822022140972013E-2</v>
      </c>
      <c r="V7" s="1">
        <v>-6.4195345497376197E-2</v>
      </c>
      <c r="W7" s="1">
        <v>-0.1407664771072121</v>
      </c>
      <c r="X7" s="1">
        <v>6.5919797537466004E-2</v>
      </c>
      <c r="Y7" s="1">
        <v>-3.6310244107391483E-2</v>
      </c>
      <c r="Z7" s="1">
        <v>6.3937579280220758E-2</v>
      </c>
      <c r="AA7" s="1">
        <v>6.1362975850324193E-2</v>
      </c>
      <c r="AB7" s="2">
        <v>0.25462406706726542</v>
      </c>
      <c r="AC7" s="1">
        <v>9.9580703486616254E-2</v>
      </c>
      <c r="AD7" s="2">
        <v>0.22195593216859191</v>
      </c>
      <c r="AE7" s="2">
        <v>0.18039039045822361</v>
      </c>
      <c r="AF7" s="1">
        <v>0.13031545369906919</v>
      </c>
      <c r="AG7" s="1">
        <v>0.13074682723089939</v>
      </c>
      <c r="AH7" s="1">
        <v>4.051397926849052E-2</v>
      </c>
      <c r="AI7" s="2">
        <v>-0.17264972864876871</v>
      </c>
      <c r="AJ7" s="1">
        <v>-0.1299163482910555</v>
      </c>
      <c r="AK7" s="1">
        <v>8.6187455547014659E-3</v>
      </c>
      <c r="AL7" s="1">
        <v>2.387651003546971E-4</v>
      </c>
      <c r="AM7" s="1">
        <v>6.4265883749702157E-2</v>
      </c>
      <c r="AN7" s="1">
        <v>-8.9551281165065003E-3</v>
      </c>
      <c r="AO7" s="1">
        <v>-6.5218964762992437E-2</v>
      </c>
      <c r="AP7" s="2">
        <v>0.17088836146633021</v>
      </c>
      <c r="AQ7" s="1">
        <v>0.1076976487888975</v>
      </c>
      <c r="AR7" s="1">
        <v>4.5531553919268247E-2</v>
      </c>
      <c r="AS7" s="1">
        <v>3.8573436495810669E-3</v>
      </c>
      <c r="AT7" s="1">
        <v>-9.4191040600538262E-2</v>
      </c>
      <c r="AU7" s="1">
        <v>-0.15497691500385649</v>
      </c>
      <c r="AV7" s="1">
        <v>3.0648953293237389E-2</v>
      </c>
      <c r="AW7" s="1">
        <v>-1.9800849385256499E-2</v>
      </c>
      <c r="AX7" s="1">
        <v>4.5578321287516772E-2</v>
      </c>
      <c r="AY7" s="2">
        <v>0.22387184356968151</v>
      </c>
      <c r="AZ7" s="1">
        <v>0.12699920210148269</v>
      </c>
      <c r="BA7" s="1">
        <v>0.124340985305054</v>
      </c>
      <c r="BB7" s="1">
        <v>5.7410160626954832E-3</v>
      </c>
      <c r="BC7" s="1">
        <v>-9.4008620317083555E-2</v>
      </c>
      <c r="BD7" s="1">
        <v>5.9778714349880309E-3</v>
      </c>
      <c r="BE7" s="1">
        <v>-4.2726624504437212E-2</v>
      </c>
      <c r="BF7" s="1">
        <v>-2.455641157176456E-2</v>
      </c>
      <c r="BG7" s="1">
        <v>-9.959954121887141E-3</v>
      </c>
      <c r="BH7" s="1">
        <v>-9.187045762157656E-3</v>
      </c>
      <c r="BI7" s="1">
        <v>-9.6484688440521514E-3</v>
      </c>
      <c r="BJ7" s="1">
        <v>-4.2173713530548759E-2</v>
      </c>
      <c r="BK7" s="1">
        <v>7.0289432894531712E-2</v>
      </c>
      <c r="BL7" s="1">
        <v>0.1017222331885069</v>
      </c>
      <c r="BM7" s="1">
        <v>-0.12715876304211171</v>
      </c>
      <c r="BN7" s="1">
        <v>-4.3549813505425992E-2</v>
      </c>
      <c r="BO7" s="1">
        <v>3.9508600025567088E-2</v>
      </c>
      <c r="BP7" s="1">
        <v>2.2633329493221159E-2</v>
      </c>
      <c r="BQ7" s="1">
        <v>-3.1735561188695068E-3</v>
      </c>
      <c r="BR7" s="1">
        <v>3.9521001261441903E-2</v>
      </c>
      <c r="BS7" s="1">
        <v>-2.036581168006462E-2</v>
      </c>
      <c r="BT7" s="1">
        <v>3.393790283320447E-2</v>
      </c>
      <c r="BU7" s="1">
        <v>-1.307001546177514E-2</v>
      </c>
      <c r="BV7" s="1">
        <v>3.904199824180811E-2</v>
      </c>
      <c r="BW7" s="1">
        <v>-2.468096801458285E-2</v>
      </c>
      <c r="BX7" s="1">
        <v>3.2047681970026713E-2</v>
      </c>
      <c r="BY7" s="1">
        <v>-3.9872126800903152E-3</v>
      </c>
      <c r="BZ7" s="1">
        <v>1.8294708952216871E-2</v>
      </c>
      <c r="CA7" s="1">
        <v>-9.9367175831475696E-3</v>
      </c>
      <c r="CB7" s="1">
        <v>3.2132668159630992E-2</v>
      </c>
      <c r="CC7" s="1">
        <v>-1.4454068755676119E-2</v>
      </c>
      <c r="CD7" s="1">
        <v>4.2096258573565068E-2</v>
      </c>
      <c r="CE7" s="1">
        <v>-2.0304593764823329E-2</v>
      </c>
      <c r="CF7" s="1">
        <v>1.1277842465314381E-2</v>
      </c>
      <c r="CG7" s="1">
        <v>3.070925474406168E-3</v>
      </c>
      <c r="CH7" s="1">
        <v>4.1915565343953423E-2</v>
      </c>
      <c r="CI7" s="1">
        <v>-2.8329512492843309E-2</v>
      </c>
      <c r="CJ7" s="1">
        <v>4.3889264448348321E-2</v>
      </c>
      <c r="CK7" s="1">
        <v>-1.298240451036041E-2</v>
      </c>
    </row>
    <row r="8" spans="1:89" x14ac:dyDescent="0.2">
      <c r="A8" s="10"/>
      <c r="B8" s="1" t="s">
        <v>2</v>
      </c>
      <c r="C8" s="1">
        <v>-0.1204010562056812</v>
      </c>
      <c r="D8" s="1">
        <v>8.4159890713441321E-2</v>
      </c>
      <c r="E8" s="1">
        <v>6.3986383733434044E-2</v>
      </c>
      <c r="F8" s="1">
        <v>5.6661613516770931E-2</v>
      </c>
      <c r="G8" s="1">
        <v>-7.0219827714393557E-2</v>
      </c>
      <c r="H8" s="1">
        <v>0.15344787191475059</v>
      </c>
      <c r="I8" s="2">
        <v>-0.20183442845524249</v>
      </c>
      <c r="J8" s="1">
        <v>-0.13367606243537239</v>
      </c>
      <c r="K8" s="1">
        <v>9.3417097882961125E-3</v>
      </c>
      <c r="L8" s="1">
        <v>-9.9993427439603669E-3</v>
      </c>
      <c r="M8" s="2">
        <v>-0.22640408904316581</v>
      </c>
      <c r="N8" s="1">
        <v>1.4439767980591409E-2</v>
      </c>
      <c r="O8" s="1">
        <v>6.6066555855085848E-2</v>
      </c>
      <c r="P8" s="1">
        <v>-4.2070021232592257E-2</v>
      </c>
      <c r="Q8" s="1">
        <v>-7.9533157037698973E-3</v>
      </c>
      <c r="R8" s="1">
        <v>-8.6166526281337835E-3</v>
      </c>
      <c r="S8" s="1">
        <v>-3.4829007797366918E-2</v>
      </c>
      <c r="T8" s="1">
        <v>4.487103019577484E-2</v>
      </c>
      <c r="U8" s="1">
        <v>3.9472513350546461E-2</v>
      </c>
      <c r="V8" s="1">
        <v>6.1731419665892732E-2</v>
      </c>
      <c r="W8" s="1">
        <v>4.0880203858471111E-2</v>
      </c>
      <c r="X8" s="1">
        <v>6.7751213411428882E-2</v>
      </c>
      <c r="Y8" s="1">
        <v>-2.288090699581628E-2</v>
      </c>
      <c r="Z8" s="1">
        <v>-5.8323626958263992E-2</v>
      </c>
      <c r="AA8" s="1">
        <v>9.0411983210898807E-3</v>
      </c>
      <c r="AB8" s="1">
        <v>-0.14462753840239009</v>
      </c>
      <c r="AC8" s="1">
        <v>-0.10739455562216289</v>
      </c>
      <c r="AD8" s="1">
        <v>-4.046390065369055E-2</v>
      </c>
      <c r="AE8" s="1">
        <v>-5.2984765149912362E-3</v>
      </c>
      <c r="AF8" s="1">
        <v>-4.6578838038529538E-2</v>
      </c>
      <c r="AG8" s="1">
        <v>1.0105416324959661E-2</v>
      </c>
      <c r="AH8" s="1">
        <v>5.1157511072356509E-3</v>
      </c>
      <c r="AI8" s="2">
        <v>-0.20016077478401051</v>
      </c>
      <c r="AJ8" s="1">
        <v>-5.2000017353508989E-2</v>
      </c>
      <c r="AK8" s="1">
        <v>1.7630680399464419E-2</v>
      </c>
      <c r="AL8" s="1">
        <v>-4.4795195813217698E-3</v>
      </c>
      <c r="AM8" s="1">
        <v>1.547589847799048E-3</v>
      </c>
      <c r="AN8" s="1">
        <v>-3.5606697364579457E-2</v>
      </c>
      <c r="AO8" s="1">
        <v>-7.9555240130808925E-3</v>
      </c>
      <c r="AP8" s="1">
        <v>4.3007361317368507E-2</v>
      </c>
      <c r="AQ8" s="1">
        <v>7.9945603401284884E-2</v>
      </c>
      <c r="AR8" s="1">
        <v>5.0049667916644669E-2</v>
      </c>
      <c r="AS8" s="1">
        <v>2.5097957720140261E-3</v>
      </c>
      <c r="AT8" s="1">
        <v>-3.2014049962651399E-2</v>
      </c>
      <c r="AU8" s="1">
        <v>-3.5261985348541282E-2</v>
      </c>
      <c r="AV8" s="1">
        <v>4.3515692588140149E-2</v>
      </c>
      <c r="AW8" s="2">
        <v>-0.31078884581567712</v>
      </c>
      <c r="AX8" s="1">
        <v>-0.16493833903132929</v>
      </c>
      <c r="AY8" s="1">
        <v>7.1028822832436195E-2</v>
      </c>
      <c r="AZ8" s="1">
        <v>-3.7265409852732231E-2</v>
      </c>
      <c r="BA8" s="2">
        <v>-0.19699729570892671</v>
      </c>
      <c r="BB8" s="2">
        <v>-0.2042618806786928</v>
      </c>
      <c r="BC8" s="2">
        <v>-0.19034107999726849</v>
      </c>
      <c r="BD8" s="1">
        <v>-4.6450860926172427E-2</v>
      </c>
      <c r="BE8" s="1">
        <v>4.3294217082041394E-3</v>
      </c>
      <c r="BF8" s="1">
        <v>-2.7452593884100832E-2</v>
      </c>
      <c r="BG8" s="1">
        <v>5.4729867548634251E-2</v>
      </c>
      <c r="BH8" s="1">
        <v>2.6329312687137479E-2</v>
      </c>
      <c r="BI8" s="1">
        <v>7.5042108615712186E-2</v>
      </c>
      <c r="BJ8" s="1">
        <v>-3.9252963981589978E-2</v>
      </c>
      <c r="BK8" s="1">
        <v>-2.0411620912372679E-2</v>
      </c>
      <c r="BL8" s="1">
        <v>-4.0423643479911751E-2</v>
      </c>
      <c r="BM8" s="1">
        <v>1.286433231350541E-2</v>
      </c>
      <c r="BN8" s="1">
        <v>-3.4339259847146419E-3</v>
      </c>
      <c r="BO8" s="1">
        <v>3.8320803473244527E-2</v>
      </c>
      <c r="BP8" s="2">
        <v>0.36155693853038362</v>
      </c>
      <c r="BQ8" s="2">
        <v>0.17552944904179779</v>
      </c>
      <c r="BR8" s="1">
        <v>6.5809144119988533E-2</v>
      </c>
      <c r="BS8" s="1">
        <v>-5.3951752811800723E-2</v>
      </c>
      <c r="BT8" s="1">
        <v>0.13906149956106559</v>
      </c>
      <c r="BU8" s="1">
        <v>-0.13011940914866801</v>
      </c>
      <c r="BV8" s="1">
        <v>0.10869584373864249</v>
      </c>
      <c r="BW8" s="1">
        <v>-7.0880353603815852E-2</v>
      </c>
      <c r="BX8" s="1">
        <v>0.14184890410279319</v>
      </c>
      <c r="BY8" s="1">
        <v>-4.7005597651528563E-2</v>
      </c>
      <c r="BZ8" s="1">
        <v>0.13015072177364451</v>
      </c>
      <c r="CA8" s="1">
        <v>-6.8118721959808046E-2</v>
      </c>
      <c r="CB8" s="1">
        <v>0.1749109230945077</v>
      </c>
      <c r="CC8" s="1">
        <v>-9.3580728606971642E-2</v>
      </c>
      <c r="CD8" s="2">
        <v>0.217230054007091</v>
      </c>
      <c r="CE8" s="1">
        <v>-0.13633798745295381</v>
      </c>
      <c r="CF8" s="1">
        <v>0.16144087714903771</v>
      </c>
      <c r="CG8" s="1">
        <v>-9.5791914937944297E-2</v>
      </c>
      <c r="CH8" s="1">
        <v>0.13331489552121489</v>
      </c>
      <c r="CI8" s="1">
        <v>-5.8524739695050947E-2</v>
      </c>
      <c r="CJ8" s="1">
        <v>0.1360079552423486</v>
      </c>
      <c r="CK8" s="1">
        <v>-3.3881368208721903E-2</v>
      </c>
    </row>
    <row r="9" spans="1:89" x14ac:dyDescent="0.2">
      <c r="A9" s="10"/>
      <c r="B9" s="1" t="s">
        <v>3</v>
      </c>
      <c r="C9" s="1">
        <v>-1.9949786987374169E-2</v>
      </c>
      <c r="D9" s="1">
        <v>-8.6848592589883894E-4</v>
      </c>
      <c r="E9" s="1">
        <v>-4.7868800370856968E-3</v>
      </c>
      <c r="F9" s="2">
        <v>0.23231657307582751</v>
      </c>
      <c r="G9" s="1">
        <v>-7.7593276529719812E-2</v>
      </c>
      <c r="H9" s="1">
        <v>-2.3852553974543469E-2</v>
      </c>
      <c r="I9" s="2">
        <v>0.15243041324122841</v>
      </c>
      <c r="J9" s="1">
        <v>0.1209797932414155</v>
      </c>
      <c r="K9" s="1">
        <v>-2.167595868462956E-2</v>
      </c>
      <c r="L9" s="1">
        <v>2.0701336258223849E-2</v>
      </c>
      <c r="M9" s="2">
        <v>0.49330866896874148</v>
      </c>
      <c r="N9" s="2">
        <v>0.29889170986633867</v>
      </c>
      <c r="O9" s="1">
        <v>-0.12788669980577591</v>
      </c>
      <c r="P9" s="1">
        <v>8.8957619220598916E-2</v>
      </c>
      <c r="Q9" s="1">
        <v>7.5792246159831021E-3</v>
      </c>
      <c r="R9" s="1">
        <v>4.9902447838808192E-3</v>
      </c>
      <c r="S9" s="1">
        <v>-6.5957021500482729E-2</v>
      </c>
      <c r="T9" s="1">
        <v>7.7497075089550754E-2</v>
      </c>
      <c r="U9" s="1">
        <v>-4.4740944626173867E-2</v>
      </c>
      <c r="V9" s="1">
        <v>-7.3835334995827492E-2</v>
      </c>
      <c r="W9" s="1">
        <v>-5.7977127555495493E-2</v>
      </c>
      <c r="X9" s="1">
        <v>3.819462385035486E-2</v>
      </c>
      <c r="Y9" s="1">
        <v>2.8116217920429409E-2</v>
      </c>
      <c r="Z9" s="1">
        <v>9.406890590578398E-3</v>
      </c>
      <c r="AA9" s="1">
        <v>-1.141403176511579E-2</v>
      </c>
      <c r="AB9" s="1">
        <v>6.9756212411248783E-2</v>
      </c>
      <c r="AC9" s="1">
        <v>5.4426588784214037E-3</v>
      </c>
      <c r="AD9" s="1">
        <v>7.0267373203377045E-2</v>
      </c>
      <c r="AE9" s="1">
        <v>0.1006813966893209</v>
      </c>
      <c r="AF9" s="1">
        <v>2.6929543134398021E-2</v>
      </c>
      <c r="AG9" s="1">
        <v>6.0569634670225962E-2</v>
      </c>
      <c r="AH9" s="1">
        <v>-3.8794303344526649E-3</v>
      </c>
      <c r="AI9" s="2">
        <v>0.34820458943426802</v>
      </c>
      <c r="AJ9" s="2">
        <v>0.23446031691237409</v>
      </c>
      <c r="AK9" s="1">
        <v>-1.107937060944862E-2</v>
      </c>
      <c r="AL9" s="1">
        <v>-9.4796412069140697E-3</v>
      </c>
      <c r="AM9" s="1">
        <v>-9.9065786347081637E-3</v>
      </c>
      <c r="AN9" s="1">
        <v>7.2948771447769289E-2</v>
      </c>
      <c r="AO9" s="1">
        <v>2.2965309786267509E-2</v>
      </c>
      <c r="AP9" s="1">
        <v>4.547464005492579E-2</v>
      </c>
      <c r="AQ9" s="1">
        <v>0.1012288145998102</v>
      </c>
      <c r="AR9" s="1">
        <v>-8.6048839062159484E-3</v>
      </c>
      <c r="AS9" s="1">
        <v>4.7130318342142067E-3</v>
      </c>
      <c r="AT9" s="1">
        <v>-1.6188555030310869E-2</v>
      </c>
      <c r="AU9" s="1">
        <v>0.114445381966528</v>
      </c>
      <c r="AV9" s="2">
        <v>0.18465600725830711</v>
      </c>
      <c r="AW9" s="2">
        <v>-0.22002152343215139</v>
      </c>
      <c r="AX9" s="1">
        <v>0.1109225098015575</v>
      </c>
      <c r="AY9" s="1">
        <v>-6.9973146729890828E-2</v>
      </c>
      <c r="AZ9" s="1">
        <v>-0.1042588165530675</v>
      </c>
      <c r="BA9" s="1">
        <v>2.4154465276583988E-2</v>
      </c>
      <c r="BB9" s="1">
        <v>8.4930209740497767E-2</v>
      </c>
      <c r="BC9" s="1">
        <v>7.2327472667759185E-2</v>
      </c>
      <c r="BD9" s="1">
        <v>1.509746642211463E-2</v>
      </c>
      <c r="BE9" s="1">
        <v>1.3600985353130359E-2</v>
      </c>
      <c r="BF9" s="1">
        <v>-4.0047673728338493E-2</v>
      </c>
      <c r="BG9" s="1">
        <v>2.7094406192926389E-3</v>
      </c>
      <c r="BH9" s="1">
        <v>-1.529144910800821E-2</v>
      </c>
      <c r="BI9" s="1">
        <v>3.790469774188697E-2</v>
      </c>
      <c r="BJ9" s="1">
        <v>-1.906210193163186E-2</v>
      </c>
      <c r="BK9" s="1">
        <v>1.5917950945743029E-2</v>
      </c>
      <c r="BL9" s="1">
        <v>0.1234801254348445</v>
      </c>
      <c r="BM9" s="1">
        <v>-1.997810740318752E-2</v>
      </c>
      <c r="BN9" s="1">
        <v>-3.9924688969295033E-2</v>
      </c>
      <c r="BO9" s="1">
        <v>-3.6249327642332692E-2</v>
      </c>
      <c r="BP9" s="2">
        <v>0.27097855898617818</v>
      </c>
      <c r="BQ9" s="2">
        <v>0.14199440507497871</v>
      </c>
      <c r="BR9" s="1">
        <v>-1.921688999703842E-3</v>
      </c>
      <c r="BS9" s="1">
        <v>-5.9951504600994198E-3</v>
      </c>
      <c r="BT9" s="1">
        <v>-8.5938792974402378E-3</v>
      </c>
      <c r="BU9" s="1">
        <v>-1.2509349621433361E-2</v>
      </c>
      <c r="BV9" s="1">
        <v>5.7500406148243782E-2</v>
      </c>
      <c r="BW9" s="1">
        <v>-6.2943816939804234E-2</v>
      </c>
      <c r="BX9" s="1">
        <v>5.4041999232814573E-2</v>
      </c>
      <c r="BY9" s="1">
        <v>-2.3085870278996182E-2</v>
      </c>
      <c r="BZ9" s="1">
        <v>3.9295823535685059E-2</v>
      </c>
      <c r="CA9" s="1">
        <v>-2.5708969107328259E-2</v>
      </c>
      <c r="CB9" s="1">
        <v>7.5046826155592078E-2</v>
      </c>
      <c r="CC9" s="1">
        <v>-5.1644654363418988E-2</v>
      </c>
      <c r="CD9" s="1">
        <v>9.6844131700323188E-2</v>
      </c>
      <c r="CE9" s="1">
        <v>-6.3910007269709773E-2</v>
      </c>
      <c r="CF9" s="1">
        <v>5.9675917078762762E-2</v>
      </c>
      <c r="CG9" s="1">
        <v>-3.6417085922896261E-2</v>
      </c>
      <c r="CH9" s="1">
        <v>3.4718484679341223E-2</v>
      </c>
      <c r="CI9" s="1">
        <v>-3.3391625262406223E-2</v>
      </c>
      <c r="CJ9" s="1">
        <v>6.5983086954648912E-2</v>
      </c>
      <c r="CK9" s="1">
        <v>-2.138364393062335E-2</v>
      </c>
    </row>
    <row r="10" spans="1:89" x14ac:dyDescent="0.2">
      <c r="A10" s="10"/>
      <c r="B10" s="1" t="s">
        <v>4</v>
      </c>
      <c r="C10" s="2">
        <v>0.20076304924076729</v>
      </c>
      <c r="D10" s="1">
        <v>1.034328823472791E-2</v>
      </c>
      <c r="E10" s="1">
        <v>2.957367554645568E-3</v>
      </c>
      <c r="F10" s="2">
        <v>-0.19655378341070029</v>
      </c>
      <c r="G10" s="1">
        <v>8.803884990564409E-2</v>
      </c>
      <c r="H10" s="1">
        <v>-0.1618696433387104</v>
      </c>
      <c r="I10" s="1">
        <v>-5.6636725223183693E-2</v>
      </c>
      <c r="J10" s="1">
        <v>-4.5496337107481237E-2</v>
      </c>
      <c r="K10" s="1">
        <v>-1.2407169559786709E-2</v>
      </c>
      <c r="L10" s="1">
        <v>-6.4567319426973857E-3</v>
      </c>
      <c r="M10" s="1">
        <v>-2.9099045471196631E-2</v>
      </c>
      <c r="N10" s="2">
        <v>-0.19822321591190659</v>
      </c>
      <c r="O10" s="1">
        <v>-4.606860253690899E-3</v>
      </c>
      <c r="P10" s="1">
        <v>-7.4904503066174299E-2</v>
      </c>
      <c r="Q10" s="1">
        <v>-9.9289835434650895E-3</v>
      </c>
      <c r="R10" s="1">
        <v>-0.10697982423501171</v>
      </c>
      <c r="S10" s="1">
        <v>7.0376443445811315E-2</v>
      </c>
      <c r="T10" s="2">
        <v>-0.18186692804247709</v>
      </c>
      <c r="U10" s="1">
        <v>-5.4846304763436812E-2</v>
      </c>
      <c r="V10" s="2">
        <v>-0.31078282915271638</v>
      </c>
      <c r="W10" s="1">
        <v>-0.1196182125249744</v>
      </c>
      <c r="X10" s="2">
        <v>-0.19948284528856081</v>
      </c>
      <c r="Y10" s="1">
        <v>-4.8923645035631499E-2</v>
      </c>
      <c r="Z10" s="1">
        <v>0.13841795222014869</v>
      </c>
      <c r="AA10" s="1">
        <v>3.6971346871857561E-2</v>
      </c>
      <c r="AB10" s="1">
        <v>-4.6730741307437228E-2</v>
      </c>
      <c r="AC10" s="1">
        <v>0.1356021699158699</v>
      </c>
      <c r="AD10" s="1">
        <v>-2.1459864288928661E-2</v>
      </c>
      <c r="AE10" s="1">
        <v>-0.12821733097737559</v>
      </c>
      <c r="AF10" s="1">
        <v>4.2533788007260057E-2</v>
      </c>
      <c r="AG10" s="1">
        <v>-8.3129762758226089E-2</v>
      </c>
      <c r="AH10" s="1">
        <v>7.9562091742037724E-2</v>
      </c>
      <c r="AI10" s="1">
        <v>7.895282716159099E-3</v>
      </c>
      <c r="AJ10" s="1">
        <v>-8.1307754621022368E-2</v>
      </c>
      <c r="AK10" s="1">
        <v>4.1464547573058057E-2</v>
      </c>
      <c r="AL10" s="2">
        <v>0.20329522035208139</v>
      </c>
      <c r="AM10" s="1">
        <v>7.5498105998891674E-2</v>
      </c>
      <c r="AN10" s="1">
        <v>1.1382939878924039E-2</v>
      </c>
      <c r="AO10" s="1">
        <v>-7.2666151835179743E-2</v>
      </c>
      <c r="AP10" s="1">
        <v>-1.940197397399224E-2</v>
      </c>
      <c r="AQ10" s="2">
        <v>-0.2478933343635279</v>
      </c>
      <c r="AR10" s="1">
        <v>0.1487804180171734</v>
      </c>
      <c r="AS10" s="1">
        <v>2.529647436122346E-3</v>
      </c>
      <c r="AT10" s="1">
        <v>2.6401415457915179E-2</v>
      </c>
      <c r="AU10" s="1">
        <v>-4.2290622510377733E-2</v>
      </c>
      <c r="AV10" s="1">
        <v>-0.1244437181937466</v>
      </c>
      <c r="AW10" s="2">
        <v>-0.31307219985413121</v>
      </c>
      <c r="AX10" s="1">
        <v>0.15652784522993521</v>
      </c>
      <c r="AY10" s="1">
        <v>-8.8591387567392682E-2</v>
      </c>
      <c r="AZ10" s="1">
        <v>-5.3804813363944708E-2</v>
      </c>
      <c r="BA10" s="1">
        <v>0.12891055662614129</v>
      </c>
      <c r="BB10" s="1">
        <v>0.1230816520145461</v>
      </c>
      <c r="BC10" s="1">
        <v>0.133483245582877</v>
      </c>
      <c r="BD10" s="1">
        <v>6.3786597330507108E-2</v>
      </c>
      <c r="BE10" s="1">
        <v>6.7088999396909071E-2</v>
      </c>
      <c r="BF10" s="1">
        <v>5.0775967384696918E-2</v>
      </c>
      <c r="BG10" s="1">
        <v>2.5167785341889019E-2</v>
      </c>
      <c r="BH10" s="1">
        <v>-5.9243448911222027E-3</v>
      </c>
      <c r="BI10" s="1">
        <v>4.3295491453157857E-2</v>
      </c>
      <c r="BJ10" s="1">
        <v>8.8633880295989897E-2</v>
      </c>
      <c r="BK10" s="1">
        <v>5.3829539498882237E-2</v>
      </c>
      <c r="BL10" s="1">
        <v>1.547661670679424E-2</v>
      </c>
      <c r="BM10" s="1">
        <v>3.7604213450821572E-2</v>
      </c>
      <c r="BN10" s="1">
        <v>5.2934761543077309E-2</v>
      </c>
      <c r="BO10" s="1">
        <v>2.2250230138644689E-2</v>
      </c>
      <c r="BP10" s="2">
        <v>0.35984877531343701</v>
      </c>
      <c r="BQ10" s="1">
        <v>0.17956321237282011</v>
      </c>
      <c r="BR10" s="1">
        <v>-3.7813840808116207E-2</v>
      </c>
      <c r="BS10" s="1">
        <v>4.0243980147796572E-2</v>
      </c>
      <c r="BT10" s="1">
        <v>-5.557225799362292E-2</v>
      </c>
      <c r="BU10" s="1">
        <v>7.9299106274330622E-2</v>
      </c>
      <c r="BV10" s="1">
        <v>-4.7922481336874628E-3</v>
      </c>
      <c r="BW10" s="1">
        <v>2.0242009943749771E-2</v>
      </c>
      <c r="BX10" s="1">
        <v>-1.8520378699534941E-2</v>
      </c>
      <c r="BY10" s="1">
        <v>2.1812128907641819E-2</v>
      </c>
      <c r="BZ10" s="1">
        <v>2.305211475367581E-3</v>
      </c>
      <c r="CA10" s="1">
        <v>2.03164061395695E-2</v>
      </c>
      <c r="CB10" s="1">
        <v>9.3137680884516124E-3</v>
      </c>
      <c r="CC10" s="1">
        <v>-2.7776061597885849E-3</v>
      </c>
      <c r="CD10" s="1">
        <v>-4.080053315543785E-2</v>
      </c>
      <c r="CE10" s="1">
        <v>3.8573838705049407E-2</v>
      </c>
      <c r="CF10" s="1">
        <v>3.9419838127839703E-2</v>
      </c>
      <c r="CG10" s="1">
        <v>-2.5050891390379779E-2</v>
      </c>
      <c r="CH10" s="1">
        <v>2.6452799167660589E-2</v>
      </c>
      <c r="CI10" s="1">
        <v>-3.9057775028719572E-3</v>
      </c>
      <c r="CJ10" s="1">
        <v>7.3429417458803596E-3</v>
      </c>
      <c r="CK10" s="1">
        <v>4.0867825870144139E-4</v>
      </c>
    </row>
    <row r="11" spans="1:89" x14ac:dyDescent="0.2">
      <c r="A11" s="10"/>
      <c r="B11" s="1" t="s">
        <v>10</v>
      </c>
      <c r="C11" s="2">
        <v>-0.28324547972813119</v>
      </c>
      <c r="D11" s="2">
        <v>0.18135996800364601</v>
      </c>
      <c r="E11" s="1">
        <v>0.1161733618892372</v>
      </c>
      <c r="F11" s="1">
        <v>0.1170907470980526</v>
      </c>
      <c r="G11" s="1">
        <v>-5.9745633445778601E-2</v>
      </c>
      <c r="H11" s="1">
        <v>4.8668182485481437E-2</v>
      </c>
      <c r="I11" s="2">
        <v>-0.1988198351238579</v>
      </c>
      <c r="J11" s="1">
        <v>-0.12857480646423661</v>
      </c>
      <c r="K11" s="1">
        <v>1.6016303442287109E-2</v>
      </c>
      <c r="L11" s="1">
        <v>-5.187376672070021E-2</v>
      </c>
      <c r="M11" s="1">
        <v>0.1587301878422186</v>
      </c>
      <c r="N11" s="1">
        <v>0.1127479024004862</v>
      </c>
      <c r="O11" s="1">
        <v>-2.6544884285882319E-2</v>
      </c>
      <c r="P11" s="1">
        <v>-0.1234927425603594</v>
      </c>
      <c r="Q11" s="1">
        <v>-1.498812910934602E-3</v>
      </c>
      <c r="R11" s="2">
        <v>-0.2231529313916224</v>
      </c>
      <c r="S11" s="1">
        <v>-0.1405519082939681</v>
      </c>
      <c r="T11" s="1">
        <v>-0.1336892478383023</v>
      </c>
      <c r="U11" s="1">
        <v>8.9607086065628339E-2</v>
      </c>
      <c r="V11" s="1">
        <v>1.045628203333652E-2</v>
      </c>
      <c r="W11" s="1">
        <v>-4.3057432966763488E-2</v>
      </c>
      <c r="X11" s="1">
        <v>-5.6139141040357297E-2</v>
      </c>
      <c r="Y11" s="1">
        <v>-0.13015071975527659</v>
      </c>
      <c r="Z11" s="2">
        <v>-0.19439469599926951</v>
      </c>
      <c r="AA11" s="1">
        <v>-3.7947922935379207E-2</v>
      </c>
      <c r="AB11" s="1">
        <v>-6.7465036775681858E-2</v>
      </c>
      <c r="AC11" s="1">
        <v>5.8216453084002792E-2</v>
      </c>
      <c r="AD11" s="1">
        <v>-2.669738488584246E-2</v>
      </c>
      <c r="AE11" s="1">
        <v>-0.16949393332162191</v>
      </c>
      <c r="AF11" s="1">
        <v>-1.8498262531223171E-2</v>
      </c>
      <c r="AG11" s="1">
        <v>-9.514576257456446E-2</v>
      </c>
      <c r="AH11" s="1">
        <v>0.1169411625105919</v>
      </c>
      <c r="AI11" s="1">
        <v>8.4578169367097264E-2</v>
      </c>
      <c r="AJ11" s="1">
        <v>5.1186558107678921E-2</v>
      </c>
      <c r="AK11" s="1">
        <v>0.108137429118716</v>
      </c>
      <c r="AL11" s="2">
        <v>0.25863015870281258</v>
      </c>
      <c r="AM11" s="2">
        <v>0.19203317551735671</v>
      </c>
      <c r="AN11" s="1">
        <v>3.011243345704372E-2</v>
      </c>
      <c r="AO11" s="2">
        <v>-0.1846207965378143</v>
      </c>
      <c r="AP11" s="2">
        <v>0.21762248896662309</v>
      </c>
      <c r="AQ11" s="1">
        <v>-0.16281070889132879</v>
      </c>
      <c r="AR11" s="2">
        <v>0.2994191501890181</v>
      </c>
      <c r="AS11" s="1">
        <v>-3.7764755126209531E-3</v>
      </c>
      <c r="AT11" s="1">
        <v>-0.13601869756025309</v>
      </c>
      <c r="AU11" s="1">
        <v>5.1839498059510249E-2</v>
      </c>
      <c r="AV11" s="1">
        <v>8.4689246661556333E-2</v>
      </c>
      <c r="AW11" s="1">
        <v>0.1139682706705468</v>
      </c>
      <c r="AX11" s="1">
        <v>4.0951703006828183E-2</v>
      </c>
      <c r="AY11" s="1">
        <v>7.8654239096480574E-2</v>
      </c>
      <c r="AZ11" s="1">
        <v>0.1748981661550281</v>
      </c>
      <c r="BA11" s="1">
        <v>-3.8205905716729813E-2</v>
      </c>
      <c r="BB11" s="1">
        <v>-0.11239243295712981</v>
      </c>
      <c r="BC11" s="1">
        <v>1.6398025675419259E-2</v>
      </c>
      <c r="BD11" s="1">
        <v>-2.727416588113428E-2</v>
      </c>
      <c r="BE11" s="1">
        <v>1.144960935700564E-2</v>
      </c>
      <c r="BF11" s="1">
        <v>1.200886287604914E-2</v>
      </c>
      <c r="BG11" s="1">
        <v>1.561703728288511E-2</v>
      </c>
      <c r="BH11" s="1">
        <v>-9.0283942387518416E-3</v>
      </c>
      <c r="BI11" s="1">
        <v>-5.2472456163297192E-3</v>
      </c>
      <c r="BJ11" s="1">
        <v>1.554132398313738E-2</v>
      </c>
      <c r="BK11" s="1">
        <v>0.11772883347214989</v>
      </c>
      <c r="BL11" s="1">
        <v>0.12825953096862319</v>
      </c>
      <c r="BM11" s="1">
        <v>-0.12527411397865271</v>
      </c>
      <c r="BN11" s="1">
        <v>-5.6977802124184032E-2</v>
      </c>
      <c r="BO11" s="1">
        <v>3.7898890896408903E-2</v>
      </c>
      <c r="BP11" s="1">
        <v>-0.1453832223069067</v>
      </c>
      <c r="BQ11" s="1">
        <v>-2.2280136562358031E-2</v>
      </c>
      <c r="BR11" s="1">
        <v>2.7940502322265099E-2</v>
      </c>
      <c r="BS11" s="1">
        <v>-2.641961768925935E-2</v>
      </c>
      <c r="BT11" s="1">
        <v>4.3025012830473823E-2</v>
      </c>
      <c r="BU11" s="1">
        <v>-6.5849637491015744E-2</v>
      </c>
      <c r="BV11" s="1">
        <v>6.390724114636843E-3</v>
      </c>
      <c r="BW11" s="1">
        <v>-2.9860964635445211E-2</v>
      </c>
      <c r="BX11" s="1">
        <v>-1.517501099260345E-2</v>
      </c>
      <c r="BY11" s="1">
        <v>3.2847764815454247E-2</v>
      </c>
      <c r="BZ11" s="1">
        <v>-7.4505291387879039E-3</v>
      </c>
      <c r="CA11" s="1">
        <v>2.0062462795673251E-4</v>
      </c>
      <c r="CB11" s="1">
        <v>-6.3937644988107334E-2</v>
      </c>
      <c r="CC11" s="1">
        <v>2.1290245898080502E-2</v>
      </c>
      <c r="CD11" s="1">
        <v>-3.4786325734498108E-2</v>
      </c>
      <c r="CE11" s="1">
        <v>2.2643257413713209E-2</v>
      </c>
      <c r="CF11" s="1">
        <v>-6.9142016864432915E-2</v>
      </c>
      <c r="CG11" s="1">
        <v>4.8469459818693932E-2</v>
      </c>
      <c r="CH11" s="1">
        <v>-4.4714951385110772E-2</v>
      </c>
      <c r="CI11" s="1">
        <v>2.9670256370956879E-2</v>
      </c>
      <c r="CJ11" s="1">
        <v>-7.1412626870721085E-2</v>
      </c>
      <c r="CK11" s="1">
        <v>2.195995738895545E-2</v>
      </c>
    </row>
    <row r="12" spans="1:89" x14ac:dyDescent="0.2">
      <c r="A12" s="10"/>
      <c r="B12" s="1" t="s">
        <v>12</v>
      </c>
      <c r="C12" s="2">
        <v>-0.2601343372786516</v>
      </c>
      <c r="D12" s="1">
        <v>-3.5858236481646211E-2</v>
      </c>
      <c r="E12" s="1">
        <v>-5.1131845351104238E-2</v>
      </c>
      <c r="F12" s="1">
        <v>0.10608342760700799</v>
      </c>
      <c r="G12" s="1">
        <v>0.1122556562106671</v>
      </c>
      <c r="H12" s="1">
        <v>-3.48400412565541E-2</v>
      </c>
      <c r="I12" s="1">
        <v>-1.3516936404291861E-2</v>
      </c>
      <c r="J12" s="1">
        <v>-3.3712520979746467E-2</v>
      </c>
      <c r="K12" s="1">
        <v>-5.4358025909042604E-3</v>
      </c>
      <c r="L12" s="1">
        <v>-4.8007048134272153E-2</v>
      </c>
      <c r="M12" s="2">
        <v>0.1398401095255187</v>
      </c>
      <c r="N12" s="1">
        <v>-5.8766967317932786E-3</v>
      </c>
      <c r="O12" s="1">
        <v>6.2956180020882768E-3</v>
      </c>
      <c r="P12" s="2">
        <v>-0.16349654170049929</v>
      </c>
      <c r="Q12" s="1">
        <v>1.686170296453406E-2</v>
      </c>
      <c r="R12" s="2">
        <v>-0.3179392030556033</v>
      </c>
      <c r="S12" s="1">
        <v>-4.4685267650067789E-3</v>
      </c>
      <c r="T12" s="2">
        <v>-0.12755675010059031</v>
      </c>
      <c r="U12" s="1">
        <v>-0.1009690767282363</v>
      </c>
      <c r="V12" s="2">
        <v>0.55461263949533934</v>
      </c>
      <c r="W12" s="2">
        <v>0.27828299588220651</v>
      </c>
      <c r="X12" s="1">
        <v>0.10245830580364371</v>
      </c>
      <c r="Y12" s="1">
        <v>4.2800527233362959E-2</v>
      </c>
      <c r="Z12" s="2">
        <v>0.1951770135575189</v>
      </c>
      <c r="AA12" s="1">
        <v>1.6415099165609511E-2</v>
      </c>
      <c r="AB12" s="1">
        <v>4.55633158966125E-2</v>
      </c>
      <c r="AC12" s="1">
        <v>9.4338801280618681E-2</v>
      </c>
      <c r="AD12" s="1">
        <v>-5.3077230728185057E-2</v>
      </c>
      <c r="AE12" s="1">
        <v>9.4600134654617474E-2</v>
      </c>
      <c r="AF12" s="1">
        <v>9.3880904709293167E-2</v>
      </c>
      <c r="AG12" s="1">
        <v>-7.0280746492043956E-3</v>
      </c>
      <c r="AH12" s="1">
        <v>9.2389639782192862E-2</v>
      </c>
      <c r="AI12" s="1">
        <v>-2.334012486877915E-2</v>
      </c>
      <c r="AJ12" s="1">
        <v>-0.1083184334099184</v>
      </c>
      <c r="AK12" s="1">
        <v>-3.1762762994473982E-2</v>
      </c>
      <c r="AL12" s="1">
        <v>-0.1040135429190418</v>
      </c>
      <c r="AM12" s="1">
        <v>2.9955322245123459E-2</v>
      </c>
      <c r="AN12" s="1">
        <v>7.4307638529476422E-3</v>
      </c>
      <c r="AO12" s="1">
        <v>-2.8305902763971939E-2</v>
      </c>
      <c r="AP12" s="1">
        <v>-2.124461554048598E-2</v>
      </c>
      <c r="AQ12" s="1">
        <v>-2.6265032462429349E-2</v>
      </c>
      <c r="AR12" s="1">
        <v>-1.164597940759479E-2</v>
      </c>
      <c r="AS12" s="1">
        <v>-5.2062063925871968E-3</v>
      </c>
      <c r="AT12" s="2">
        <v>0.22948083886310741</v>
      </c>
      <c r="AU12" s="1">
        <v>-6.4548846627327641E-2</v>
      </c>
      <c r="AV12" s="1">
        <v>-0.1126710399041672</v>
      </c>
      <c r="AW12" s="1">
        <v>-0.1095746541289095</v>
      </c>
      <c r="AX12" s="1">
        <v>1.146520129849141E-2</v>
      </c>
      <c r="AY12" s="1">
        <v>9.5046520365372034E-2</v>
      </c>
      <c r="AZ12" s="1">
        <v>-9.0114952546369434E-2</v>
      </c>
      <c r="BA12" s="1">
        <v>8.0405376751495033E-2</v>
      </c>
      <c r="BB12" s="1">
        <v>1.770059002338429E-2</v>
      </c>
      <c r="BC12" s="1">
        <v>2.42464555327454E-2</v>
      </c>
      <c r="BD12" s="1">
        <v>5.7065427173787861E-2</v>
      </c>
      <c r="BE12" s="1">
        <v>7.2955029003937619E-2</v>
      </c>
      <c r="BF12" s="1">
        <v>3.4127092769184492E-2</v>
      </c>
      <c r="BG12" s="1">
        <v>9.6414997016373225E-3</v>
      </c>
      <c r="BH12" s="1">
        <v>6.057327839594148E-3</v>
      </c>
      <c r="BI12" s="1">
        <v>3.8614096800241728E-2</v>
      </c>
      <c r="BJ12" s="1">
        <v>9.028437317072785E-2</v>
      </c>
      <c r="BK12" s="1">
        <v>-3.2952035190121173E-2</v>
      </c>
      <c r="BL12" s="1">
        <v>7.3546431269464188E-3</v>
      </c>
      <c r="BM12" s="1">
        <v>1.9783758514716851E-2</v>
      </c>
      <c r="BN12" s="1">
        <v>6.559278073985543E-2</v>
      </c>
      <c r="BO12" s="1">
        <v>3.4867409447822753E-2</v>
      </c>
      <c r="BP12" s="2">
        <v>0.12983933531355479</v>
      </c>
      <c r="BQ12" s="1">
        <v>6.0296331763881612E-2</v>
      </c>
      <c r="BR12" s="1">
        <v>-4.8823129036119087E-2</v>
      </c>
      <c r="BS12" s="1">
        <v>4.5432074097137932E-2</v>
      </c>
      <c r="BT12" s="1">
        <v>-9.1058107010004954E-2</v>
      </c>
      <c r="BU12" s="1">
        <v>0.1064868647780839</v>
      </c>
      <c r="BV12" s="1">
        <v>-7.7869321421815518E-2</v>
      </c>
      <c r="BW12" s="1">
        <v>8.3056824873866994E-2</v>
      </c>
      <c r="BX12" s="1">
        <v>-8.3848718745061543E-2</v>
      </c>
      <c r="BY12" s="1">
        <v>4.1114582012572988E-2</v>
      </c>
      <c r="BZ12" s="1">
        <v>-6.4302544875902048E-2</v>
      </c>
      <c r="CA12" s="1">
        <v>7.853906845495634E-2</v>
      </c>
      <c r="CB12" s="1">
        <v>-5.3052979639686181E-3</v>
      </c>
      <c r="CC12" s="1">
        <v>2.413746128737836E-2</v>
      </c>
      <c r="CD12" s="1">
        <v>-2.4886316496442389E-2</v>
      </c>
      <c r="CE12" s="1">
        <v>4.0408652955042167E-2</v>
      </c>
      <c r="CF12" s="1">
        <v>-3.7824434362852682E-2</v>
      </c>
      <c r="CG12" s="1">
        <v>4.8426604527291472E-2</v>
      </c>
      <c r="CH12" s="1">
        <v>6.5942467578791616E-2</v>
      </c>
      <c r="CI12" s="1">
        <v>-4.4095916224394807E-2</v>
      </c>
      <c r="CJ12" s="1">
        <v>1.1848077664107859E-2</v>
      </c>
      <c r="CK12" s="1">
        <v>8.9712675754703413E-3</v>
      </c>
    </row>
    <row r="14" spans="1:89" x14ac:dyDescent="0.2">
      <c r="A14" s="10" t="s">
        <v>9</v>
      </c>
      <c r="B14" s="1" t="s">
        <v>0</v>
      </c>
      <c r="C14" s="1">
        <v>-2.151385441162907E-2</v>
      </c>
      <c r="D14" s="1">
        <v>-7.3490606030039984E-2</v>
      </c>
      <c r="E14" s="1">
        <v>-4.7311431194689717E-2</v>
      </c>
      <c r="F14" s="1">
        <v>-8.9627615555936346E-2</v>
      </c>
      <c r="G14" s="2">
        <v>-0.14790099271163659</v>
      </c>
      <c r="H14" s="1">
        <v>-6.559319494735126E-2</v>
      </c>
      <c r="I14" s="2">
        <v>-0.1568617334293208</v>
      </c>
      <c r="J14" s="2">
        <v>-0.16626578276016141</v>
      </c>
      <c r="K14" s="1">
        <v>-6.4998100331692316E-2</v>
      </c>
      <c r="L14" s="1">
        <v>6.0670875824228462E-2</v>
      </c>
      <c r="M14" s="1">
        <v>-9.7903864318699643E-2</v>
      </c>
      <c r="N14" s="1">
        <v>-2.2973280959255719E-2</v>
      </c>
      <c r="O14" s="1">
        <v>-9.1876077800418746E-2</v>
      </c>
      <c r="P14" s="1">
        <v>7.6650435340762907E-2</v>
      </c>
      <c r="Q14" s="2">
        <v>-0.28919397084253662</v>
      </c>
      <c r="R14" s="1">
        <v>6.5357031210626776E-3</v>
      </c>
      <c r="S14" s="1">
        <v>-6.587723953496169E-2</v>
      </c>
      <c r="T14" s="1">
        <v>6.0718476843336602E-2</v>
      </c>
      <c r="U14" s="2">
        <v>-0.31840761311270938</v>
      </c>
      <c r="V14" s="1">
        <v>6.2899118452744526E-2</v>
      </c>
      <c r="W14" s="1">
        <v>-6.381911318561774E-2</v>
      </c>
      <c r="X14" s="1">
        <v>0.11041302804187141</v>
      </c>
      <c r="Y14" s="1">
        <v>-9.7097522726212141E-3</v>
      </c>
      <c r="Z14" s="2">
        <v>0.55275197143301646</v>
      </c>
      <c r="AA14" s="2">
        <v>0.40170389821007502</v>
      </c>
      <c r="AB14" s="1">
        <v>-8.8515543581838871E-2</v>
      </c>
      <c r="AC14" s="1">
        <v>-0.1024207132222047</v>
      </c>
      <c r="AD14" s="1">
        <v>1.54962647388933E-2</v>
      </c>
      <c r="AE14" s="2">
        <v>-0.15450320865847161</v>
      </c>
      <c r="AF14" s="1">
        <v>-9.0614004541062873E-2</v>
      </c>
      <c r="AG14" s="1">
        <v>-8.9663717358317477E-2</v>
      </c>
      <c r="AH14" s="1">
        <v>-2.2207158060914549E-2</v>
      </c>
      <c r="AI14" s="1">
        <v>0.1203193822871679</v>
      </c>
      <c r="AJ14" s="1">
        <v>0.1048966004867756</v>
      </c>
      <c r="AK14" s="1">
        <v>3.9327180534247446E-3</v>
      </c>
      <c r="AL14" s="1">
        <v>-2.1689627916943319E-2</v>
      </c>
      <c r="AM14" s="1">
        <v>-7.696745412035709E-3</v>
      </c>
      <c r="AN14" s="1">
        <v>6.2247578818724093E-2</v>
      </c>
      <c r="AO14" s="1">
        <v>1.8847630813227829E-2</v>
      </c>
      <c r="AP14" s="1">
        <v>3.3237763022730793E-2</v>
      </c>
      <c r="AQ14" s="1">
        <v>6.3338545872137941E-2</v>
      </c>
      <c r="AR14" s="1">
        <v>-1.2592103409018521E-2</v>
      </c>
      <c r="AS14" s="1">
        <v>4.5934546850871331E-3</v>
      </c>
      <c r="AT14" s="1">
        <v>-8.6385548157370123E-2</v>
      </c>
      <c r="AU14" s="1">
        <v>4.9250635714898933E-2</v>
      </c>
      <c r="AV14" s="2">
        <v>0.1371955807963606</v>
      </c>
      <c r="AW14" s="1">
        <v>4.2444797295070447E-2</v>
      </c>
      <c r="AX14" s="1">
        <v>1.9366297241357511E-2</v>
      </c>
      <c r="AY14" s="1">
        <v>-2.267509111318658E-2</v>
      </c>
      <c r="AZ14" s="1">
        <v>7.7224165521787139E-2</v>
      </c>
      <c r="BA14" s="1">
        <v>-3.6736197483161502E-2</v>
      </c>
      <c r="BB14" s="1">
        <v>-7.6097317297962361E-2</v>
      </c>
      <c r="BC14" s="1">
        <v>-9.9166200264456019E-3</v>
      </c>
      <c r="BD14" s="1">
        <v>-2.0555969708238239E-2</v>
      </c>
      <c r="BE14" s="1">
        <v>-1.33899777327452E-2</v>
      </c>
      <c r="BF14" s="1">
        <v>3.6223131048635179E-3</v>
      </c>
      <c r="BG14" s="1">
        <v>-2.9701953556575708E-3</v>
      </c>
      <c r="BH14" s="1">
        <v>6.3996469647918941E-3</v>
      </c>
      <c r="BI14" s="1">
        <v>-7.3546598814987598E-3</v>
      </c>
      <c r="BJ14" s="1">
        <v>-3.0983659131941488E-3</v>
      </c>
      <c r="BK14" s="1">
        <v>0.1023388119030456</v>
      </c>
      <c r="BL14" s="2">
        <v>0.13729898673818899</v>
      </c>
      <c r="BM14" s="1">
        <v>-0.1196044828063856</v>
      </c>
      <c r="BN14" s="1">
        <v>-3.8082319970451993E-2</v>
      </c>
      <c r="BO14" s="1">
        <v>3.8473603466028378E-2</v>
      </c>
      <c r="BP14" s="1">
        <v>-5.5539560572105399E-2</v>
      </c>
      <c r="BQ14" s="1">
        <v>-8.8959140538354131E-3</v>
      </c>
      <c r="BR14" s="1">
        <v>8.7163047895183095E-3</v>
      </c>
      <c r="BS14" s="1">
        <v>-7.1507915301634627E-3</v>
      </c>
      <c r="BT14" s="1">
        <v>-6.9359955484062626E-3</v>
      </c>
      <c r="BU14" s="1">
        <v>1.2797709169688871E-3</v>
      </c>
      <c r="BV14" s="1">
        <v>-9.7380038240132919E-3</v>
      </c>
      <c r="BW14" s="1">
        <v>-1.9987192088035152E-3</v>
      </c>
      <c r="BX14" s="1">
        <v>-2.8758664082005271E-3</v>
      </c>
      <c r="BY14" s="1">
        <v>-4.0004340933596253E-3</v>
      </c>
      <c r="BZ14" s="1">
        <v>5.9760710145934579E-3</v>
      </c>
      <c r="CA14" s="1">
        <v>-1.085756949321524E-2</v>
      </c>
      <c r="CB14" s="1">
        <v>1.4618356365008141E-2</v>
      </c>
      <c r="CC14" s="1">
        <v>-1.527095916202225E-2</v>
      </c>
      <c r="CD14" s="1">
        <v>-2.944197990588945E-2</v>
      </c>
      <c r="CE14" s="1">
        <v>2.2762295648808901E-2</v>
      </c>
      <c r="CF14" s="1">
        <v>-1.795394764472243E-2</v>
      </c>
      <c r="CG14" s="1">
        <v>1.31993035396193E-2</v>
      </c>
      <c r="CH14" s="1">
        <v>-9.2416370230727317E-3</v>
      </c>
      <c r="CI14" s="1">
        <v>1.0424755272625459E-2</v>
      </c>
      <c r="CJ14" s="1">
        <v>-6.1417665257253069E-3</v>
      </c>
      <c r="CK14" s="1">
        <v>6.4134889751426584E-4</v>
      </c>
    </row>
    <row r="15" spans="1:89" x14ac:dyDescent="0.2">
      <c r="A15" s="10"/>
      <c r="B15" s="1" t="s">
        <v>1</v>
      </c>
      <c r="C15" s="1">
        <v>-9.07993000851013E-2</v>
      </c>
      <c r="D15" s="1">
        <v>9.8128037583185224E-2</v>
      </c>
      <c r="E15" s="1">
        <v>6.256312217576665E-2</v>
      </c>
      <c r="F15" s="1">
        <v>-3.208396375827427E-2</v>
      </c>
      <c r="G15" s="1">
        <v>-0.1475474321969534</v>
      </c>
      <c r="H15" s="2">
        <v>-0.32425352569313398</v>
      </c>
      <c r="I15" s="2">
        <v>0.32983318562807551</v>
      </c>
      <c r="J15" s="2">
        <v>0.28201906980417768</v>
      </c>
      <c r="K15" s="1">
        <v>1.9619424218128862E-3</v>
      </c>
      <c r="L15" s="1">
        <v>-2.1673251354762731E-2</v>
      </c>
      <c r="M15" s="1">
        <v>-0.16725475706939091</v>
      </c>
      <c r="N15" s="1">
        <v>-0.115089163522169</v>
      </c>
      <c r="O15" s="1">
        <v>5.6202250660606162E-2</v>
      </c>
      <c r="P15" s="1">
        <v>-0.1230386562050628</v>
      </c>
      <c r="Q15" s="1">
        <v>-6.4616795436844093E-2</v>
      </c>
      <c r="R15" s="1">
        <v>-0.11924882480860539</v>
      </c>
      <c r="S15" s="2">
        <v>-0.25130516436775407</v>
      </c>
      <c r="T15" s="1">
        <v>9.9047123500672532E-2</v>
      </c>
      <c r="U15" s="1">
        <v>-2.822022140972013E-2</v>
      </c>
      <c r="V15" s="1">
        <v>-6.4195345497376197E-2</v>
      </c>
      <c r="W15" s="1">
        <v>-0.1407664771072121</v>
      </c>
      <c r="X15" s="1">
        <v>6.5919797537466004E-2</v>
      </c>
      <c r="Y15" s="1">
        <v>-3.6310244107391483E-2</v>
      </c>
      <c r="Z15" s="1">
        <v>6.3937579280220758E-2</v>
      </c>
      <c r="AA15" s="1">
        <v>6.1362975850324193E-2</v>
      </c>
      <c r="AB15" s="2">
        <v>0.25462406706726542</v>
      </c>
      <c r="AC15" s="1">
        <v>9.9580703486616254E-2</v>
      </c>
      <c r="AD15" s="2">
        <v>0.22195593216859191</v>
      </c>
      <c r="AE15" s="2">
        <v>0.18039039045822361</v>
      </c>
      <c r="AF15" s="1">
        <v>0.13031545369906919</v>
      </c>
      <c r="AG15" s="1">
        <v>0.13074682723089939</v>
      </c>
      <c r="AH15" s="1">
        <v>4.051397926849052E-2</v>
      </c>
      <c r="AI15" s="2">
        <v>-0.17264972864876871</v>
      </c>
      <c r="AJ15" s="1">
        <v>-0.1299163482910555</v>
      </c>
      <c r="AK15" s="1">
        <v>8.6187455547014659E-3</v>
      </c>
      <c r="AL15" s="1">
        <v>2.387651003546971E-4</v>
      </c>
      <c r="AM15" s="1">
        <v>6.4265883749702157E-2</v>
      </c>
      <c r="AN15" s="1">
        <v>-8.9551281165065003E-3</v>
      </c>
      <c r="AO15" s="1">
        <v>-6.5218964762992437E-2</v>
      </c>
      <c r="AP15" s="2">
        <v>0.17088836146633021</v>
      </c>
      <c r="AQ15" s="1">
        <v>0.1076976487888975</v>
      </c>
      <c r="AR15" s="1">
        <v>4.5531553919268247E-2</v>
      </c>
      <c r="AS15" s="1">
        <v>3.8573436495810669E-3</v>
      </c>
      <c r="AT15" s="1">
        <v>-9.4191040600538262E-2</v>
      </c>
      <c r="AU15" s="1">
        <v>-0.15497691500385649</v>
      </c>
      <c r="AV15" s="1">
        <v>3.0648953293237389E-2</v>
      </c>
      <c r="AW15" s="1">
        <v>-1.9800849385256499E-2</v>
      </c>
      <c r="AX15" s="1">
        <v>4.5578321287516772E-2</v>
      </c>
      <c r="AY15" s="2">
        <v>0.22387184356968151</v>
      </c>
      <c r="AZ15" s="1">
        <v>0.12699920210148269</v>
      </c>
      <c r="BA15" s="1">
        <v>0.124340985305054</v>
      </c>
      <c r="BB15" s="1">
        <v>5.7410160626954832E-3</v>
      </c>
      <c r="BC15" s="1">
        <v>-9.4008620317083555E-2</v>
      </c>
      <c r="BD15" s="1">
        <v>5.9778714349880309E-3</v>
      </c>
      <c r="BE15" s="1">
        <v>-4.2726624504437212E-2</v>
      </c>
      <c r="BF15" s="1">
        <v>-2.455641157176456E-2</v>
      </c>
      <c r="BG15" s="1">
        <v>-9.959954121887141E-3</v>
      </c>
      <c r="BH15" s="1">
        <v>-9.187045762157656E-3</v>
      </c>
      <c r="BI15" s="1">
        <v>-9.6484688440521514E-3</v>
      </c>
      <c r="BJ15" s="1">
        <v>-4.2173713530548759E-2</v>
      </c>
      <c r="BK15" s="1">
        <v>7.0289432894531712E-2</v>
      </c>
      <c r="BL15" s="1">
        <v>0.1017222331885069</v>
      </c>
      <c r="BM15" s="1">
        <v>-0.12715876304211171</v>
      </c>
      <c r="BN15" s="1">
        <v>-4.3549813505425992E-2</v>
      </c>
      <c r="BO15" s="1">
        <v>3.9508600025567088E-2</v>
      </c>
      <c r="BP15" s="1">
        <v>2.2633329493221159E-2</v>
      </c>
      <c r="BQ15" s="1">
        <v>-3.1735561188695068E-3</v>
      </c>
      <c r="BR15" s="1">
        <v>3.9521001261441903E-2</v>
      </c>
      <c r="BS15" s="1">
        <v>-2.036581168006462E-2</v>
      </c>
      <c r="BT15" s="1">
        <v>3.393790283320447E-2</v>
      </c>
      <c r="BU15" s="1">
        <v>-1.307001546177514E-2</v>
      </c>
      <c r="BV15" s="1">
        <v>3.904199824180811E-2</v>
      </c>
      <c r="BW15" s="1">
        <v>-2.468096801458285E-2</v>
      </c>
      <c r="BX15" s="1">
        <v>3.2047681970026713E-2</v>
      </c>
      <c r="BY15" s="1">
        <v>-3.9872126800903152E-3</v>
      </c>
      <c r="BZ15" s="1">
        <v>1.8294708952216871E-2</v>
      </c>
      <c r="CA15" s="1">
        <v>-9.9367175831475696E-3</v>
      </c>
      <c r="CB15" s="1">
        <v>3.2132668159630992E-2</v>
      </c>
      <c r="CC15" s="1">
        <v>-1.4454068755676119E-2</v>
      </c>
      <c r="CD15" s="1">
        <v>4.2096258573565068E-2</v>
      </c>
      <c r="CE15" s="1">
        <v>-2.0304593764823329E-2</v>
      </c>
      <c r="CF15" s="1">
        <v>1.1277842465314381E-2</v>
      </c>
      <c r="CG15" s="1">
        <v>3.070925474406168E-3</v>
      </c>
      <c r="CH15" s="1">
        <v>4.1915565343953423E-2</v>
      </c>
      <c r="CI15" s="1">
        <v>-2.8329512492843309E-2</v>
      </c>
      <c r="CJ15" s="1">
        <v>4.3889264448348321E-2</v>
      </c>
      <c r="CK15" s="1">
        <v>-1.298240451036041E-2</v>
      </c>
    </row>
    <row r="16" spans="1:89" x14ac:dyDescent="0.2">
      <c r="A16" s="10"/>
      <c r="B16" s="1" t="s">
        <v>2</v>
      </c>
      <c r="C16" s="1">
        <v>-0.1204010562056812</v>
      </c>
      <c r="D16" s="1">
        <v>8.4159890713441321E-2</v>
      </c>
      <c r="E16" s="1">
        <v>6.3986383733434044E-2</v>
      </c>
      <c r="F16" s="1">
        <v>5.6661613516770931E-2</v>
      </c>
      <c r="G16" s="1">
        <v>-7.0219827714393557E-2</v>
      </c>
      <c r="H16" s="1">
        <v>0.15344787191475059</v>
      </c>
      <c r="I16" s="2">
        <v>-0.20183442845524249</v>
      </c>
      <c r="J16" s="1">
        <v>-0.13367606243537239</v>
      </c>
      <c r="K16" s="1">
        <v>9.3417097882961125E-3</v>
      </c>
      <c r="L16" s="1">
        <v>-9.9993427439603669E-3</v>
      </c>
      <c r="M16" s="2">
        <v>-0.22640408904316581</v>
      </c>
      <c r="N16" s="1">
        <v>1.4439767980591409E-2</v>
      </c>
      <c r="O16" s="1">
        <v>6.6066555855085848E-2</v>
      </c>
      <c r="P16" s="1">
        <v>-4.2070021232592257E-2</v>
      </c>
      <c r="Q16" s="1">
        <v>-7.9533157037698973E-3</v>
      </c>
      <c r="R16" s="1">
        <v>-8.6166526281337835E-3</v>
      </c>
      <c r="S16" s="1">
        <v>-3.4829007797366918E-2</v>
      </c>
      <c r="T16" s="1">
        <v>4.487103019577484E-2</v>
      </c>
      <c r="U16" s="1">
        <v>3.9472513350546461E-2</v>
      </c>
      <c r="V16" s="1">
        <v>6.1731419665892732E-2</v>
      </c>
      <c r="W16" s="1">
        <v>4.0880203858471111E-2</v>
      </c>
      <c r="X16" s="1">
        <v>6.7751213411428882E-2</v>
      </c>
      <c r="Y16" s="1">
        <v>-2.288090699581628E-2</v>
      </c>
      <c r="Z16" s="1">
        <v>-5.8323626958263992E-2</v>
      </c>
      <c r="AA16" s="1">
        <v>9.0411983210898807E-3</v>
      </c>
      <c r="AB16" s="1">
        <v>-0.14462753840239009</v>
      </c>
      <c r="AC16" s="1">
        <v>-0.10739455562216289</v>
      </c>
      <c r="AD16" s="1">
        <v>-4.046390065369055E-2</v>
      </c>
      <c r="AE16" s="1">
        <v>-5.2984765149912362E-3</v>
      </c>
      <c r="AF16" s="1">
        <v>-4.6578838038529538E-2</v>
      </c>
      <c r="AG16" s="1">
        <v>1.0105416324959661E-2</v>
      </c>
      <c r="AH16" s="1">
        <v>5.1157511072356509E-3</v>
      </c>
      <c r="AI16" s="2">
        <v>-0.20016077478401051</v>
      </c>
      <c r="AJ16" s="1">
        <v>-5.2000017353508989E-2</v>
      </c>
      <c r="AK16" s="1">
        <v>1.7630680399464419E-2</v>
      </c>
      <c r="AL16" s="1">
        <v>-4.4795195813217698E-3</v>
      </c>
      <c r="AM16" s="1">
        <v>1.547589847799048E-3</v>
      </c>
      <c r="AN16" s="1">
        <v>-3.5606697364579457E-2</v>
      </c>
      <c r="AO16" s="1">
        <v>-7.9555240130808925E-3</v>
      </c>
      <c r="AP16" s="1">
        <v>4.3007361317368507E-2</v>
      </c>
      <c r="AQ16" s="1">
        <v>7.9945603401284884E-2</v>
      </c>
      <c r="AR16" s="1">
        <v>5.0049667916644669E-2</v>
      </c>
      <c r="AS16" s="1">
        <v>2.5097957720140261E-3</v>
      </c>
      <c r="AT16" s="1">
        <v>-3.2014049962651399E-2</v>
      </c>
      <c r="AU16" s="1">
        <v>-3.5261985348541282E-2</v>
      </c>
      <c r="AV16" s="1">
        <v>4.3515692588140149E-2</v>
      </c>
      <c r="AW16" s="2">
        <v>-0.31078884581567712</v>
      </c>
      <c r="AX16" s="1">
        <v>-0.16493833903132929</v>
      </c>
      <c r="AY16" s="1">
        <v>7.1028822832436195E-2</v>
      </c>
      <c r="AZ16" s="1">
        <v>-3.7265409852732231E-2</v>
      </c>
      <c r="BA16" s="2">
        <v>-0.19699729570892671</v>
      </c>
      <c r="BB16" s="2">
        <v>-0.2042618806786928</v>
      </c>
      <c r="BC16" s="2">
        <v>-0.19034107999726849</v>
      </c>
      <c r="BD16" s="1">
        <v>-4.6450860926172427E-2</v>
      </c>
      <c r="BE16" s="1">
        <v>4.3294217082041394E-3</v>
      </c>
      <c r="BF16" s="1">
        <v>-2.7452593884100832E-2</v>
      </c>
      <c r="BG16" s="1">
        <v>5.4729867548634251E-2</v>
      </c>
      <c r="BH16" s="1">
        <v>2.6329312687137479E-2</v>
      </c>
      <c r="BI16" s="1">
        <v>7.5042108615712186E-2</v>
      </c>
      <c r="BJ16" s="1">
        <v>-3.9252963981589978E-2</v>
      </c>
      <c r="BK16" s="1">
        <v>-2.0411620912372679E-2</v>
      </c>
      <c r="BL16" s="1">
        <v>-4.0423643479911751E-2</v>
      </c>
      <c r="BM16" s="1">
        <v>1.286433231350541E-2</v>
      </c>
      <c r="BN16" s="1">
        <v>-3.4339259847146419E-3</v>
      </c>
      <c r="BO16" s="1">
        <v>3.8320803473244527E-2</v>
      </c>
      <c r="BP16" s="2">
        <v>0.36155693853038362</v>
      </c>
      <c r="BQ16" s="2">
        <v>0.17552944904179779</v>
      </c>
      <c r="BR16" s="1">
        <v>6.5809144119988533E-2</v>
      </c>
      <c r="BS16" s="1">
        <v>-5.3951752811800723E-2</v>
      </c>
      <c r="BT16" s="1">
        <v>0.13906149956106559</v>
      </c>
      <c r="BU16" s="1">
        <v>-0.13011940914866801</v>
      </c>
      <c r="BV16" s="1">
        <v>0.10869584373864249</v>
      </c>
      <c r="BW16" s="1">
        <v>-7.0880353603815852E-2</v>
      </c>
      <c r="BX16" s="1">
        <v>0.14184890410279319</v>
      </c>
      <c r="BY16" s="1">
        <v>-4.7005597651528563E-2</v>
      </c>
      <c r="BZ16" s="1">
        <v>0.13015072177364451</v>
      </c>
      <c r="CA16" s="1">
        <v>-6.8118721959808046E-2</v>
      </c>
      <c r="CB16" s="1">
        <v>0.1749109230945077</v>
      </c>
      <c r="CC16" s="1">
        <v>-9.3580728606971642E-2</v>
      </c>
      <c r="CD16" s="2">
        <v>0.217230054007091</v>
      </c>
      <c r="CE16" s="1">
        <v>-0.13633798745295381</v>
      </c>
      <c r="CF16" s="1">
        <v>0.16144087714903771</v>
      </c>
      <c r="CG16" s="1">
        <v>-9.5791914937944297E-2</v>
      </c>
      <c r="CH16" s="1">
        <v>0.13331489552121489</v>
      </c>
      <c r="CI16" s="1">
        <v>-5.8524739695050947E-2</v>
      </c>
      <c r="CJ16" s="1">
        <v>0.1360079552423486</v>
      </c>
      <c r="CK16" s="1">
        <v>-3.3881368208721903E-2</v>
      </c>
    </row>
    <row r="17" spans="1:89" x14ac:dyDescent="0.2">
      <c r="A17" s="10"/>
      <c r="B17" s="1" t="s">
        <v>3</v>
      </c>
      <c r="C17" s="1">
        <v>-1.9949786987374169E-2</v>
      </c>
      <c r="D17" s="1">
        <v>-8.6848592589883894E-4</v>
      </c>
      <c r="E17" s="1">
        <v>-4.7868800370856968E-3</v>
      </c>
      <c r="F17" s="2">
        <v>0.23231657307582751</v>
      </c>
      <c r="G17" s="1">
        <v>-7.7593276529719812E-2</v>
      </c>
      <c r="H17" s="1">
        <v>-2.3852553974543469E-2</v>
      </c>
      <c r="I17" s="2">
        <v>0.15243041324122841</v>
      </c>
      <c r="J17" s="1">
        <v>0.1209797932414155</v>
      </c>
      <c r="K17" s="1">
        <v>-2.167595868462956E-2</v>
      </c>
      <c r="L17" s="1">
        <v>2.0701336258223849E-2</v>
      </c>
      <c r="M17" s="2">
        <v>0.49330866896874148</v>
      </c>
      <c r="N17" s="2">
        <v>0.29889170986633867</v>
      </c>
      <c r="O17" s="1">
        <v>-0.12788669980577591</v>
      </c>
      <c r="P17" s="1">
        <v>8.8957619220598916E-2</v>
      </c>
      <c r="Q17" s="1">
        <v>7.5792246159831021E-3</v>
      </c>
      <c r="R17" s="1">
        <v>4.9902447838808192E-3</v>
      </c>
      <c r="S17" s="1">
        <v>-6.5957021500482729E-2</v>
      </c>
      <c r="T17" s="1">
        <v>7.7497075089550754E-2</v>
      </c>
      <c r="U17" s="1">
        <v>-4.4740944626173867E-2</v>
      </c>
      <c r="V17" s="1">
        <v>-7.3835334995827492E-2</v>
      </c>
      <c r="W17" s="1">
        <v>-5.7977127555495493E-2</v>
      </c>
      <c r="X17" s="1">
        <v>3.819462385035486E-2</v>
      </c>
      <c r="Y17" s="1">
        <v>2.8116217920429409E-2</v>
      </c>
      <c r="Z17" s="1">
        <v>9.406890590578398E-3</v>
      </c>
      <c r="AA17" s="1">
        <v>-1.141403176511579E-2</v>
      </c>
      <c r="AB17" s="1">
        <v>6.9756212411248783E-2</v>
      </c>
      <c r="AC17" s="1">
        <v>5.4426588784214037E-3</v>
      </c>
      <c r="AD17" s="1">
        <v>7.0267373203377045E-2</v>
      </c>
      <c r="AE17" s="1">
        <v>0.1006813966893209</v>
      </c>
      <c r="AF17" s="1">
        <v>2.6929543134398021E-2</v>
      </c>
      <c r="AG17" s="1">
        <v>6.0569634670225962E-2</v>
      </c>
      <c r="AH17" s="1">
        <v>-3.8794303344526649E-3</v>
      </c>
      <c r="AI17" s="2">
        <v>0.34820458943426802</v>
      </c>
      <c r="AJ17" s="2">
        <v>0.23446031691237409</v>
      </c>
      <c r="AK17" s="1">
        <v>-1.107937060944862E-2</v>
      </c>
      <c r="AL17" s="1">
        <v>-9.4796412069140697E-3</v>
      </c>
      <c r="AM17" s="1">
        <v>-9.9065786347081637E-3</v>
      </c>
      <c r="AN17" s="1">
        <v>7.2948771447769289E-2</v>
      </c>
      <c r="AO17" s="1">
        <v>2.2965309786267509E-2</v>
      </c>
      <c r="AP17" s="1">
        <v>4.547464005492579E-2</v>
      </c>
      <c r="AQ17" s="1">
        <v>0.1012288145998102</v>
      </c>
      <c r="AR17" s="1">
        <v>-8.6048839062159484E-3</v>
      </c>
      <c r="AS17" s="1">
        <v>4.7130318342142067E-3</v>
      </c>
      <c r="AT17" s="1">
        <v>-1.6188555030310869E-2</v>
      </c>
      <c r="AU17" s="1">
        <v>0.114445381966528</v>
      </c>
      <c r="AV17" s="2">
        <v>0.18465600725830711</v>
      </c>
      <c r="AW17" s="2">
        <v>-0.22002152343215139</v>
      </c>
      <c r="AX17" s="1">
        <v>0.1109225098015575</v>
      </c>
      <c r="AY17" s="1">
        <v>-6.9973146729890828E-2</v>
      </c>
      <c r="AZ17" s="1">
        <v>-0.1042588165530675</v>
      </c>
      <c r="BA17" s="1">
        <v>2.4154465276583988E-2</v>
      </c>
      <c r="BB17" s="1">
        <v>8.4930209740497767E-2</v>
      </c>
      <c r="BC17" s="1">
        <v>7.2327472667759185E-2</v>
      </c>
      <c r="BD17" s="1">
        <v>1.509746642211463E-2</v>
      </c>
      <c r="BE17" s="1">
        <v>1.3600985353130359E-2</v>
      </c>
      <c r="BF17" s="1">
        <v>-4.0047673728338493E-2</v>
      </c>
      <c r="BG17" s="1">
        <v>2.7094406192926389E-3</v>
      </c>
      <c r="BH17" s="1">
        <v>-1.529144910800821E-2</v>
      </c>
      <c r="BI17" s="1">
        <v>3.790469774188697E-2</v>
      </c>
      <c r="BJ17" s="1">
        <v>-1.906210193163186E-2</v>
      </c>
      <c r="BK17" s="1">
        <v>1.5917950945743029E-2</v>
      </c>
      <c r="BL17" s="1">
        <v>0.1234801254348445</v>
      </c>
      <c r="BM17" s="1">
        <v>-1.997810740318752E-2</v>
      </c>
      <c r="BN17" s="1">
        <v>-3.9924688969295033E-2</v>
      </c>
      <c r="BO17" s="1">
        <v>-3.6249327642332692E-2</v>
      </c>
      <c r="BP17" s="2">
        <v>0.27097855898617818</v>
      </c>
      <c r="BQ17" s="2">
        <v>0.14199440507497871</v>
      </c>
      <c r="BR17" s="1">
        <v>-1.921688999703842E-3</v>
      </c>
      <c r="BS17" s="1">
        <v>-5.9951504600994198E-3</v>
      </c>
      <c r="BT17" s="1">
        <v>-8.5938792974402378E-3</v>
      </c>
      <c r="BU17" s="1">
        <v>-1.2509349621433361E-2</v>
      </c>
      <c r="BV17" s="1">
        <v>5.7500406148243782E-2</v>
      </c>
      <c r="BW17" s="1">
        <v>-6.2943816939804234E-2</v>
      </c>
      <c r="BX17" s="1">
        <v>5.4041999232814573E-2</v>
      </c>
      <c r="BY17" s="1">
        <v>-2.3085870278996182E-2</v>
      </c>
      <c r="BZ17" s="1">
        <v>3.9295823535685059E-2</v>
      </c>
      <c r="CA17" s="1">
        <v>-2.5708969107328259E-2</v>
      </c>
      <c r="CB17" s="1">
        <v>7.5046826155592078E-2</v>
      </c>
      <c r="CC17" s="1">
        <v>-5.1644654363418988E-2</v>
      </c>
      <c r="CD17" s="1">
        <v>9.6844131700323188E-2</v>
      </c>
      <c r="CE17" s="1">
        <v>-6.3910007269709773E-2</v>
      </c>
      <c r="CF17" s="1">
        <v>5.9675917078762762E-2</v>
      </c>
      <c r="CG17" s="1">
        <v>-3.6417085922896261E-2</v>
      </c>
      <c r="CH17" s="1">
        <v>3.4718484679341223E-2</v>
      </c>
      <c r="CI17" s="1">
        <v>-3.3391625262406223E-2</v>
      </c>
      <c r="CJ17" s="1">
        <v>6.5983086954648912E-2</v>
      </c>
      <c r="CK17" s="1">
        <v>-2.138364393062335E-2</v>
      </c>
    </row>
    <row r="18" spans="1:89" s="6" customFormat="1" ht="32.25" customHeight="1" x14ac:dyDescent="0.2">
      <c r="C18" s="6">
        <f>C10-C11-C12</f>
        <v>0.74414286624754999</v>
      </c>
      <c r="D18" s="6">
        <f>D11</f>
        <v>0.18135996800364601</v>
      </c>
      <c r="F18" s="6">
        <f>F9+F17-F10</f>
        <v>0.66118692956235536</v>
      </c>
      <c r="G18" s="6">
        <f>-G3-G6-G14</f>
        <v>0.44370297813490978</v>
      </c>
      <c r="H18" s="6">
        <f>-H4-H7-H15</f>
        <v>0.97276057707940189</v>
      </c>
      <c r="I18" s="6">
        <f>-I3-I6-I8-I14-I16+I4+I7+I9+I15+I17</f>
        <v>2.1686144405651309</v>
      </c>
      <c r="J18" s="6">
        <f>-J3-J6-J14+J4+J7+J15</f>
        <v>1.3448545576930173</v>
      </c>
      <c r="M18" s="6">
        <f>-M8-M16+M9+M12+M17</f>
        <v>1.5792656255493331</v>
      </c>
      <c r="N18" s="6">
        <f>N9+N17-N10</f>
        <v>0.79600663564458396</v>
      </c>
      <c r="P18" s="6">
        <f>-P12</f>
        <v>0.16349654170049929</v>
      </c>
      <c r="Q18" s="6">
        <f>-Q3-Q6-Q14</f>
        <v>0.86758191252760986</v>
      </c>
      <c r="R18" s="6">
        <f>-R11-R12</f>
        <v>0.5410921344472257</v>
      </c>
      <c r="S18" s="6">
        <f>-S4-S7-S15</f>
        <v>0.75391549310326222</v>
      </c>
      <c r="T18" s="6">
        <f>-T10-T12</f>
        <v>0.30942367814306737</v>
      </c>
      <c r="U18" s="6">
        <f>-U3-U6-U14</f>
        <v>0.95522283933812813</v>
      </c>
      <c r="V18" s="6">
        <f>-V10+V12</f>
        <v>0.86539546864805572</v>
      </c>
      <c r="W18" s="6">
        <f>W12</f>
        <v>0.27828299588220651</v>
      </c>
      <c r="X18" s="6">
        <f>-X10</f>
        <v>0.19948284528856081</v>
      </c>
      <c r="Z18" s="6">
        <f>Z3+Z6+Z12+Z14-Z11</f>
        <v>2.0478276238558379</v>
      </c>
      <c r="AA18" s="6">
        <f>AA3+AA6+AA14</f>
        <v>1.2051116946302249</v>
      </c>
      <c r="AB18" s="6">
        <f>AB4+AB7+AB15</f>
        <v>0.76387220120179622</v>
      </c>
      <c r="AD18" s="6">
        <f>AD4+AD7+AD15</f>
        <v>0.66586779650577577</v>
      </c>
      <c r="AE18" s="6">
        <f>-AE3-AE6-AE14+AE4+AE7+AE15</f>
        <v>1.0046807973500858</v>
      </c>
      <c r="AI18" s="6">
        <f>AI17+AI9-AI4-AI7-AI8-AI15-AI16</f>
        <v>1.6146799143828634</v>
      </c>
      <c r="AJ18" s="6">
        <f>+AJ17+AJ9</f>
        <v>0.46892063382474819</v>
      </c>
      <c r="AL18" s="6">
        <f>AL11+AL10</f>
        <v>0.46192537905489395</v>
      </c>
      <c r="AM18" s="6">
        <f>AM11</f>
        <v>0.19203317551735671</v>
      </c>
      <c r="AO18" s="6">
        <f>-AO11</f>
        <v>0.1846207965378143</v>
      </c>
      <c r="AP18" s="6">
        <f>AP15+AP11+AP7+AP4</f>
        <v>0.73028757336561378</v>
      </c>
      <c r="AQ18" s="6">
        <f>-AQ10</f>
        <v>0.2478933343635279</v>
      </c>
      <c r="AR18" s="6">
        <f>AR11</f>
        <v>0.2994191501890181</v>
      </c>
      <c r="AT18" s="6">
        <f>AT12</f>
        <v>0.22948083886310741</v>
      </c>
      <c r="AV18" s="6">
        <f>AV17+AV14+AV9+AV6+AV3</f>
        <v>0.7808987569056961</v>
      </c>
      <c r="AW18" s="6">
        <f>-AW8-AW9-AW10-AW16-AW17</f>
        <v>1.3746929383497883</v>
      </c>
      <c r="AY18" s="6">
        <f>+AY15+AY7+AY4</f>
        <v>0.67161553070904456</v>
      </c>
      <c r="BA18" s="6">
        <f>-BA16-BA8</f>
        <v>0.39399459141785342</v>
      </c>
      <c r="BB18" s="6">
        <f>-BB16-BB8</f>
        <v>0.40852376135738561</v>
      </c>
      <c r="BC18" s="6">
        <f>-BC16-BC8</f>
        <v>0.38068215999453697</v>
      </c>
      <c r="BL18" s="6">
        <f>BL14+BL6+BL3</f>
        <v>0.41189696021456701</v>
      </c>
      <c r="BP18" s="6">
        <f>BP17+BP16+BP12+BP10+BP9+BP8</f>
        <v>1.7547591056601153</v>
      </c>
      <c r="BQ18" s="6">
        <f>BQ17+BQ16+BQ9+BQ8</f>
        <v>0.63504770823355305</v>
      </c>
      <c r="CD18" s="6">
        <f>CD16+CD8</f>
        <v>0.434460108014182</v>
      </c>
    </row>
    <row r="19" spans="1:89" s="7" customFormat="1" ht="32.25" customHeight="1" x14ac:dyDescent="0.2">
      <c r="C19" s="7">
        <v>12</v>
      </c>
      <c r="D19" s="7">
        <v>3</v>
      </c>
      <c r="F19" s="7">
        <v>10</v>
      </c>
      <c r="G19" s="7">
        <v>9</v>
      </c>
      <c r="H19" s="7">
        <v>15</v>
      </c>
      <c r="I19" s="7">
        <v>31</v>
      </c>
      <c r="J19" s="7">
        <v>14</v>
      </c>
      <c r="M19" s="7">
        <v>14</v>
      </c>
      <c r="N19" s="7">
        <v>9</v>
      </c>
      <c r="P19" s="7">
        <v>3</v>
      </c>
      <c r="Q19" s="7">
        <v>10</v>
      </c>
      <c r="R19" s="7">
        <v>10</v>
      </c>
      <c r="S19" s="7">
        <v>6</v>
      </c>
      <c r="T19" s="7">
        <v>7</v>
      </c>
      <c r="U19" s="7">
        <v>8</v>
      </c>
      <c r="V19" s="7">
        <v>10</v>
      </c>
      <c r="W19" s="7">
        <v>3</v>
      </c>
      <c r="X19" s="7">
        <v>6</v>
      </c>
      <c r="Z19" s="7">
        <v>19</v>
      </c>
      <c r="AA19" s="7">
        <v>8</v>
      </c>
      <c r="AB19" s="7">
        <v>11</v>
      </c>
      <c r="AD19" s="7">
        <v>6</v>
      </c>
      <c r="AE19" s="7">
        <v>17</v>
      </c>
      <c r="AI19" s="7">
        <v>16</v>
      </c>
      <c r="AJ19" s="7">
        <v>5</v>
      </c>
      <c r="AL19" s="7">
        <v>11</v>
      </c>
      <c r="AM19" s="7">
        <v>4</v>
      </c>
      <c r="AO19" s="7">
        <v>4</v>
      </c>
      <c r="AP19" s="7">
        <v>9</v>
      </c>
      <c r="AQ19" s="7">
        <v>7</v>
      </c>
      <c r="AR19" s="7">
        <v>3</v>
      </c>
      <c r="AT19" s="7">
        <v>5</v>
      </c>
      <c r="AV19" s="7">
        <v>12</v>
      </c>
      <c r="AW19" s="7">
        <v>14</v>
      </c>
      <c r="AY19" s="7">
        <v>7</v>
      </c>
      <c r="BA19" s="7">
        <v>7</v>
      </c>
      <c r="BB19" s="7">
        <v>8</v>
      </c>
      <c r="BC19" s="7">
        <v>6</v>
      </c>
      <c r="BL19" s="7">
        <v>10</v>
      </c>
      <c r="BP19" s="7">
        <v>18</v>
      </c>
      <c r="BQ19" s="7">
        <v>10</v>
      </c>
      <c r="CD19" s="7">
        <v>7</v>
      </c>
    </row>
    <row r="20" spans="1:89" x14ac:dyDescent="0.2">
      <c r="C20" s="1">
        <v>0.74414286624754999</v>
      </c>
      <c r="D20" s="1">
        <v>0.18135996800364601</v>
      </c>
      <c r="F20" s="1">
        <v>0.66118692956235536</v>
      </c>
      <c r="G20" s="1">
        <v>0.44370297813490978</v>
      </c>
      <c r="H20" s="1">
        <v>0.97276057707940189</v>
      </c>
      <c r="I20" s="1">
        <v>2.1686144405651309</v>
      </c>
      <c r="J20" s="1">
        <v>1.3448545576930173</v>
      </c>
      <c r="M20" s="1">
        <v>1.5792656255493331</v>
      </c>
      <c r="N20" s="1">
        <v>0.79600663564458396</v>
      </c>
      <c r="P20" s="1">
        <v>0.16349654170049929</v>
      </c>
      <c r="Q20" s="1">
        <v>0.86758191252760986</v>
      </c>
      <c r="R20" s="1">
        <v>0.5410921344472257</v>
      </c>
      <c r="S20" s="1">
        <v>0.75391549310326222</v>
      </c>
      <c r="T20" s="1">
        <v>0.30942367814306737</v>
      </c>
      <c r="U20" s="1">
        <v>0.95522283933812813</v>
      </c>
      <c r="V20" s="1">
        <v>0.86539546864805572</v>
      </c>
      <c r="W20" s="1">
        <v>0.27828299588220651</v>
      </c>
      <c r="X20" s="1">
        <v>0.19948284528856081</v>
      </c>
      <c r="Z20" s="1">
        <v>2.0478276238558379</v>
      </c>
      <c r="AA20" s="1">
        <v>1.2051116946302249</v>
      </c>
      <c r="AB20" s="1">
        <v>0.76387220120179622</v>
      </c>
      <c r="AD20" s="1">
        <v>0.66586779650577577</v>
      </c>
      <c r="AE20" s="1">
        <v>1.0046807973500858</v>
      </c>
      <c r="AI20" s="1">
        <v>1.6146799143828634</v>
      </c>
      <c r="AJ20" s="1">
        <v>0.46892063382474819</v>
      </c>
      <c r="AL20" s="1">
        <v>0.46192537905489395</v>
      </c>
      <c r="AM20" s="1">
        <v>0.19203317551735671</v>
      </c>
      <c r="AO20" s="1">
        <v>0.1846207965378143</v>
      </c>
      <c r="AP20" s="1">
        <v>0.73028757336561378</v>
      </c>
      <c r="AQ20" s="1">
        <v>0.2478933343635279</v>
      </c>
      <c r="AR20" s="1">
        <v>0.2994191501890181</v>
      </c>
      <c r="AT20" s="1">
        <v>0.22948083886310741</v>
      </c>
      <c r="AV20" s="1">
        <v>0.7808987569056961</v>
      </c>
      <c r="AW20" s="1">
        <v>1.3746929383497883</v>
      </c>
      <c r="AY20" s="1">
        <v>0.67161553070904456</v>
      </c>
      <c r="BA20" s="1">
        <v>0.39399459141785342</v>
      </c>
      <c r="BB20" s="1">
        <v>0.40852376135738561</v>
      </c>
      <c r="BC20" s="1">
        <v>0.38068215999453697</v>
      </c>
      <c r="BL20" s="1">
        <v>0.41189696021456701</v>
      </c>
      <c r="BP20" s="1">
        <v>1.7547591056601153</v>
      </c>
      <c r="BQ20" s="1">
        <v>0.63504770823355305</v>
      </c>
      <c r="CD20" s="1">
        <v>0.434460108014182</v>
      </c>
    </row>
    <row r="21" spans="1:89" x14ac:dyDescent="0.2">
      <c r="C21" s="1">
        <v>12</v>
      </c>
      <c r="D21" s="1">
        <v>3</v>
      </c>
      <c r="F21" s="1">
        <v>10</v>
      </c>
      <c r="G21" s="1">
        <v>9</v>
      </c>
      <c r="H21" s="1">
        <v>15</v>
      </c>
      <c r="I21" s="1">
        <v>31</v>
      </c>
      <c r="J21" s="1">
        <v>14</v>
      </c>
      <c r="M21" s="1">
        <v>14</v>
      </c>
      <c r="N21" s="1">
        <v>9</v>
      </c>
      <c r="P21" s="1">
        <v>3</v>
      </c>
      <c r="Q21" s="1">
        <v>10</v>
      </c>
      <c r="R21" s="1">
        <v>10</v>
      </c>
      <c r="S21" s="1">
        <v>6</v>
      </c>
      <c r="T21" s="1">
        <v>7</v>
      </c>
      <c r="U21" s="1">
        <v>8</v>
      </c>
      <c r="V21" s="1">
        <v>10</v>
      </c>
      <c r="W21" s="1">
        <v>3</v>
      </c>
      <c r="X21" s="1">
        <v>6</v>
      </c>
      <c r="Z21" s="1">
        <v>19</v>
      </c>
      <c r="AA21" s="1">
        <v>8</v>
      </c>
      <c r="AB21" s="1">
        <v>11</v>
      </c>
      <c r="AD21" s="1">
        <v>6</v>
      </c>
      <c r="AE21" s="1">
        <v>17</v>
      </c>
      <c r="AI21" s="1">
        <v>16</v>
      </c>
      <c r="AJ21" s="1">
        <v>5</v>
      </c>
      <c r="AL21" s="1">
        <v>11</v>
      </c>
      <c r="AM21" s="1">
        <v>4</v>
      </c>
      <c r="AO21" s="1">
        <v>4</v>
      </c>
      <c r="AP21" s="1">
        <v>9</v>
      </c>
      <c r="AQ21" s="1">
        <v>7</v>
      </c>
      <c r="AR21" s="1">
        <v>3</v>
      </c>
      <c r="AT21" s="1">
        <v>5</v>
      </c>
      <c r="AV21" s="1">
        <v>12</v>
      </c>
      <c r="AW21" s="1">
        <v>14</v>
      </c>
      <c r="AY21" s="1">
        <v>7</v>
      </c>
      <c r="BA21" s="1">
        <v>7</v>
      </c>
      <c r="BB21" s="1">
        <v>8</v>
      </c>
      <c r="BC21" s="1">
        <v>6</v>
      </c>
      <c r="BL21" s="1">
        <v>10</v>
      </c>
      <c r="BP21" s="1">
        <v>18</v>
      </c>
      <c r="BQ21" s="1">
        <v>10</v>
      </c>
      <c r="CD21" s="1">
        <v>7</v>
      </c>
    </row>
  </sheetData>
  <mergeCells count="3">
    <mergeCell ref="A3:A4"/>
    <mergeCell ref="A6:A12"/>
    <mergeCell ref="A14:A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3AEB-5EB9-4828-A809-453B59047E01}">
  <sheetPr codeName="Sheet4"/>
  <dimension ref="A1:CK45"/>
  <sheetViews>
    <sheetView zoomScaleNormal="100" workbookViewId="0">
      <selection activeCell="C1" sqref="C1:I1048576"/>
    </sheetView>
  </sheetViews>
  <sheetFormatPr defaultRowHeight="15" x14ac:dyDescent="0.2"/>
  <cols>
    <col min="1" max="16384" width="9" style="1"/>
  </cols>
  <sheetData>
    <row r="1" spans="1:89" x14ac:dyDescent="0.2"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109</v>
      </c>
      <c r="J1" s="4" t="s">
        <v>110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111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4" t="s">
        <v>74</v>
      </c>
      <c r="BD1" s="4" t="s">
        <v>75</v>
      </c>
      <c r="BE1" s="4" t="s">
        <v>76</v>
      </c>
      <c r="BF1" s="4" t="s">
        <v>77</v>
      </c>
      <c r="BG1" s="4" t="s">
        <v>78</v>
      </c>
      <c r="BH1" s="4" t="s">
        <v>79</v>
      </c>
      <c r="BI1" s="4" t="s">
        <v>80</v>
      </c>
      <c r="BJ1" s="4" t="s">
        <v>81</v>
      </c>
      <c r="BK1" s="5" t="s">
        <v>82</v>
      </c>
      <c r="BL1" s="5" t="s">
        <v>83</v>
      </c>
      <c r="BM1" s="5" t="s">
        <v>84</v>
      </c>
      <c r="BN1" s="5" t="s">
        <v>85</v>
      </c>
      <c r="BO1" s="5" t="s">
        <v>86</v>
      </c>
      <c r="BP1" s="4" t="s">
        <v>87</v>
      </c>
      <c r="BQ1" s="4" t="s">
        <v>88</v>
      </c>
      <c r="BR1" s="5" t="s">
        <v>89</v>
      </c>
      <c r="BS1" s="5" t="s">
        <v>90</v>
      </c>
      <c r="BT1" s="5" t="s">
        <v>91</v>
      </c>
      <c r="BU1" s="5" t="s">
        <v>92</v>
      </c>
      <c r="BV1" s="5" t="s">
        <v>93</v>
      </c>
      <c r="BW1" s="5" t="s">
        <v>94</v>
      </c>
      <c r="BX1" s="5" t="s">
        <v>95</v>
      </c>
      <c r="BY1" s="5" t="s">
        <v>96</v>
      </c>
      <c r="BZ1" s="5" t="s">
        <v>97</v>
      </c>
      <c r="CA1" s="5" t="s">
        <v>98</v>
      </c>
      <c r="CB1" s="5" t="s">
        <v>99</v>
      </c>
      <c r="CC1" s="5" t="s">
        <v>100</v>
      </c>
      <c r="CD1" s="5" t="s">
        <v>101</v>
      </c>
      <c r="CE1" s="5" t="s">
        <v>102</v>
      </c>
      <c r="CF1" s="5" t="s">
        <v>103</v>
      </c>
      <c r="CG1" s="5" t="s">
        <v>104</v>
      </c>
      <c r="CH1" s="5" t="s">
        <v>105</v>
      </c>
      <c r="CI1" s="5" t="s">
        <v>106</v>
      </c>
      <c r="CJ1" s="5" t="s">
        <v>107</v>
      </c>
      <c r="CK1" s="5" t="s">
        <v>108</v>
      </c>
    </row>
    <row r="2" spans="1:89" x14ac:dyDescent="0.2"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>
        <v>81</v>
      </c>
      <c r="CG2" s="1">
        <v>82</v>
      </c>
      <c r="CH2" s="1">
        <v>83</v>
      </c>
      <c r="CI2" s="1">
        <v>84</v>
      </c>
      <c r="CJ2" s="1">
        <v>85</v>
      </c>
      <c r="CK2" s="1">
        <v>86</v>
      </c>
    </row>
    <row r="3" spans="1:89" x14ac:dyDescent="0.2">
      <c r="A3" s="10" t="s">
        <v>6</v>
      </c>
      <c r="B3" s="1" t="s">
        <v>0</v>
      </c>
      <c r="C3" s="1">
        <v>-4.0200021092800707E-2</v>
      </c>
      <c r="D3" s="1">
        <v>-3.3344903574671507E-2</v>
      </c>
      <c r="E3" s="1">
        <v>-2.2767892527374101E-2</v>
      </c>
      <c r="F3" s="1">
        <v>-8.8407656904273491E-2</v>
      </c>
      <c r="G3" s="2">
        <v>-0.17315036900413211</v>
      </c>
      <c r="H3" s="1">
        <v>-0.10268687256341311</v>
      </c>
      <c r="I3" s="1">
        <v>-9.0440054161246911E-2</v>
      </c>
      <c r="J3" s="1">
        <v>-0.10373918712387301</v>
      </c>
      <c r="K3" s="2">
        <v>-0.2803261176636162</v>
      </c>
      <c r="L3" s="2">
        <v>0.14055605553723749</v>
      </c>
      <c r="M3" s="2">
        <v>-0.1644950986366833</v>
      </c>
      <c r="N3" s="1">
        <v>-4.4740034829181499E-2</v>
      </c>
      <c r="O3" s="1">
        <v>-7.6833329716718815E-2</v>
      </c>
      <c r="P3" s="1">
        <v>4.1704476250050811E-2</v>
      </c>
      <c r="Q3" s="2">
        <v>-0.28539250199219529</v>
      </c>
      <c r="R3" s="1">
        <v>7.859934108587611E-4</v>
      </c>
      <c r="S3" s="1">
        <v>-0.11291244254466019</v>
      </c>
      <c r="T3" s="1">
        <v>9.0531097836712385E-2</v>
      </c>
      <c r="U3" s="2">
        <v>-0.2803261176636162</v>
      </c>
      <c r="V3" s="1">
        <v>4.7998884599768449E-2</v>
      </c>
      <c r="W3" s="1">
        <v>-8.3473164475629191E-2</v>
      </c>
      <c r="X3" s="1">
        <v>0.12752361803967349</v>
      </c>
      <c r="Y3" s="1">
        <v>-1.519362128221882E-2</v>
      </c>
      <c r="Z3" s="2">
        <v>0.51544589990597034</v>
      </c>
      <c r="AA3" s="2">
        <v>0.38746109027946068</v>
      </c>
      <c r="AB3" s="1">
        <v>-4.0477269274874772E-2</v>
      </c>
      <c r="AC3" s="1">
        <v>-8.8001246909383851E-2</v>
      </c>
      <c r="AD3" s="1">
        <v>5.9658851930328931E-2</v>
      </c>
      <c r="AE3" s="1">
        <v>-0.1038351214262081</v>
      </c>
      <c r="AF3" s="1">
        <v>-5.4499456998105822E-2</v>
      </c>
      <c r="AG3" s="1">
        <v>-4.9628485201039123E-2</v>
      </c>
      <c r="AH3" s="1">
        <v>-1.310409404563774E-2</v>
      </c>
      <c r="AI3" s="1">
        <v>5.8622539315669991E-2</v>
      </c>
      <c r="AJ3" s="1">
        <v>7.4633163182063353E-2</v>
      </c>
      <c r="AK3" s="1">
        <v>4.0081245309579877E-3</v>
      </c>
      <c r="AL3" s="1">
        <v>-3.013435522311779E-2</v>
      </c>
      <c r="AM3" s="1">
        <v>-6.0665772917252577E-3</v>
      </c>
      <c r="AN3" s="1">
        <v>3.9392868843175451E-2</v>
      </c>
      <c r="AO3" s="1">
        <v>1.311099613155875E-2</v>
      </c>
      <c r="AP3" s="1">
        <v>6.5769859716974299E-2</v>
      </c>
      <c r="AQ3" s="1">
        <v>0.10953857522320599</v>
      </c>
      <c r="AR3" s="1">
        <v>-4.2688380660396343E-3</v>
      </c>
      <c r="AS3" s="1">
        <v>5.83650443839096E-3</v>
      </c>
      <c r="AT3" s="1">
        <v>-0.10722923216917481</v>
      </c>
      <c r="AU3" s="1">
        <v>9.6732923191815944E-3</v>
      </c>
      <c r="AV3" s="2">
        <v>0.1436327631422934</v>
      </c>
      <c r="AW3" s="1">
        <v>5.3873781724458599E-4</v>
      </c>
      <c r="AX3" s="1">
        <v>1.6706640918635361E-2</v>
      </c>
      <c r="AY3" s="1">
        <v>3.0818158122725269E-2</v>
      </c>
      <c r="AZ3" s="1">
        <v>8.659051891943241E-2</v>
      </c>
      <c r="BA3" s="1">
        <v>-3.8286039915175027E-2</v>
      </c>
      <c r="BB3" s="1">
        <v>-9.0328870812615036E-2</v>
      </c>
      <c r="BC3" s="1">
        <v>-4.9260413172021247E-2</v>
      </c>
      <c r="BD3" s="1">
        <v>-2.5208843330562881E-2</v>
      </c>
      <c r="BE3" s="1">
        <v>-1.9945454076086111E-2</v>
      </c>
      <c r="BF3" s="1">
        <v>-1.612672771612883E-2</v>
      </c>
      <c r="BG3" s="1">
        <v>-1.6191737017223571E-3</v>
      </c>
      <c r="BH3" s="1">
        <v>5.9469030303650966E-3</v>
      </c>
      <c r="BI3" s="1">
        <v>-5.8127659270914048E-4</v>
      </c>
      <c r="BJ3" s="1">
        <v>-2.2147521804059898E-2</v>
      </c>
      <c r="BK3" s="1">
        <v>0.1051492976228393</v>
      </c>
      <c r="BL3" s="2">
        <v>0.13406457115360981</v>
      </c>
      <c r="BM3" s="1">
        <v>-0.1222805842069478</v>
      </c>
      <c r="BN3" s="1">
        <v>-4.7433678412367751E-2</v>
      </c>
      <c r="BO3" s="1">
        <v>4.2068950248680632E-2</v>
      </c>
      <c r="BP3" s="1">
        <v>-1.4844038311841549E-3</v>
      </c>
      <c r="BQ3" s="1">
        <v>1.705555025861432E-2</v>
      </c>
      <c r="BR3" s="1">
        <v>4.4909113763630097E-2</v>
      </c>
      <c r="BS3" s="1">
        <v>-1.8776971308673038E-2</v>
      </c>
      <c r="BT3" s="1">
        <v>2.9038584621400309E-2</v>
      </c>
      <c r="BU3" s="1">
        <v>-2.5852196853774261E-2</v>
      </c>
      <c r="BV3" s="1">
        <v>1.873478210756567E-2</v>
      </c>
      <c r="BW3" s="1">
        <v>-2.1366062220947338E-2</v>
      </c>
      <c r="BX3" s="1">
        <v>2.3413505787315079E-2</v>
      </c>
      <c r="BY3" s="1">
        <v>-1.2843381264615671E-2</v>
      </c>
      <c r="BZ3" s="1">
        <v>2.6080650312438652E-2</v>
      </c>
      <c r="CA3" s="1">
        <v>-1.9776749544552469E-2</v>
      </c>
      <c r="CB3" s="1">
        <v>4.5824306730629948E-2</v>
      </c>
      <c r="CC3" s="1">
        <v>-3.3907664948808217E-2</v>
      </c>
      <c r="CD3" s="1">
        <v>1.6499284206065772E-2</v>
      </c>
      <c r="CE3" s="1">
        <v>-5.1681800026986526E-3</v>
      </c>
      <c r="CF3" s="1">
        <v>8.6991692733040422E-3</v>
      </c>
      <c r="CG3" s="1">
        <v>4.3145714471859572E-3</v>
      </c>
      <c r="CH3" s="1">
        <v>7.2592175185398336E-3</v>
      </c>
      <c r="CI3" s="1">
        <v>4.2604351929346048E-3</v>
      </c>
      <c r="CJ3" s="1">
        <v>3.2800275975416092E-2</v>
      </c>
      <c r="CK3" s="1">
        <v>-9.9754206688408408E-3</v>
      </c>
    </row>
    <row r="4" spans="1:89" x14ac:dyDescent="0.2">
      <c r="A4" s="10"/>
      <c r="B4" s="1" t="s">
        <v>1</v>
      </c>
      <c r="C4" s="1">
        <v>-8.4940933199852964E-2</v>
      </c>
      <c r="D4" s="1">
        <v>0.1018471710509377</v>
      </c>
      <c r="E4" s="1">
        <v>8.3295683803165557E-2</v>
      </c>
      <c r="F4" s="1">
        <v>-4.2436834848235572E-2</v>
      </c>
      <c r="G4" s="1">
        <v>-0.1073893839922567</v>
      </c>
      <c r="H4" s="2">
        <v>-0.32171021641840603</v>
      </c>
      <c r="I4" s="2">
        <v>0.33018789121434722</v>
      </c>
      <c r="J4" s="2">
        <v>0.30512398177133532</v>
      </c>
      <c r="K4" s="1">
        <v>1.613285376179651E-2</v>
      </c>
      <c r="L4" s="1">
        <v>-7.2684989198729399E-2</v>
      </c>
      <c r="M4" s="1">
        <v>-0.14870638635831199</v>
      </c>
      <c r="N4" s="1">
        <v>-0.13426619480281049</v>
      </c>
      <c r="O4" s="1">
        <v>8.4411370426889828E-2</v>
      </c>
      <c r="P4" s="1">
        <v>-0.13379191161606621</v>
      </c>
      <c r="Q4" s="1">
        <v>1.416275649284831E-3</v>
      </c>
      <c r="R4" s="1">
        <v>-0.1292371246356625</v>
      </c>
      <c r="S4" s="2">
        <v>-0.22220067149691311</v>
      </c>
      <c r="T4" s="1">
        <v>5.0244446292136223E-2</v>
      </c>
      <c r="U4" s="1">
        <v>1.6132853761796451E-2</v>
      </c>
      <c r="V4" s="1">
        <v>-8.6179206991334231E-2</v>
      </c>
      <c r="W4" s="1">
        <v>-0.13052455324769779</v>
      </c>
      <c r="X4" s="1">
        <v>1.5951284021018228E-2</v>
      </c>
      <c r="Y4" s="1">
        <v>-4.1947592297665363E-2</v>
      </c>
      <c r="Z4" s="1">
        <v>-3.1782989004050848E-2</v>
      </c>
      <c r="AA4" s="1">
        <v>-2.4474358350680629E-2</v>
      </c>
      <c r="AB4" s="2">
        <v>0.25182557095648039</v>
      </c>
      <c r="AC4" s="1">
        <v>0.12967156458829601</v>
      </c>
      <c r="AD4" s="2">
        <v>0.20103572481684009</v>
      </c>
      <c r="AE4" s="2">
        <v>0.17922739827315379</v>
      </c>
      <c r="AF4" s="1">
        <v>0.13931445453337979</v>
      </c>
      <c r="AG4" s="1">
        <v>0.13734613754412309</v>
      </c>
      <c r="AH4" s="1">
        <v>5.4395585998910853E-2</v>
      </c>
      <c r="AI4" s="2">
        <v>-0.20577427641368989</v>
      </c>
      <c r="AJ4" s="2">
        <v>-0.17456653585543019</v>
      </c>
      <c r="AK4" s="1">
        <v>1.401441412302726E-2</v>
      </c>
      <c r="AL4" s="1">
        <v>3.966831708386407E-2</v>
      </c>
      <c r="AM4" s="1">
        <v>8.5269327569348088E-2</v>
      </c>
      <c r="AN4" s="1">
        <v>2.9121697574202871E-3</v>
      </c>
      <c r="AO4" s="1">
        <v>-8.3864870885593426E-2</v>
      </c>
      <c r="AP4" s="1">
        <v>0.16407220975195369</v>
      </c>
      <c r="AQ4" s="1">
        <v>4.5651813154616028E-2</v>
      </c>
      <c r="AR4" s="1">
        <v>6.8226215725564462E-2</v>
      </c>
      <c r="AS4" s="1">
        <v>1.9787286566987782E-3</v>
      </c>
      <c r="AT4" s="1">
        <v>-8.6555015284134465E-2</v>
      </c>
      <c r="AU4" s="1">
        <v>-0.17050148016528879</v>
      </c>
      <c r="AV4" s="1">
        <v>-2.4903413191822051E-2</v>
      </c>
      <c r="AW4" s="1">
        <v>1.8945613821419519E-2</v>
      </c>
      <c r="AX4" s="1">
        <v>4.7772487573231423E-2</v>
      </c>
      <c r="AY4" s="2">
        <v>0.22350765255514249</v>
      </c>
      <c r="AZ4" s="1">
        <v>0.12921560505518129</v>
      </c>
      <c r="BA4" s="1">
        <v>0.1566135826142612</v>
      </c>
      <c r="BB4" s="1">
        <v>3.3197511227017813E-2</v>
      </c>
      <c r="BC4" s="1">
        <v>-7.6231096088375042E-2</v>
      </c>
      <c r="BD4" s="1">
        <v>2.0401402152747342E-2</v>
      </c>
      <c r="BE4" s="1">
        <v>-4.8795340613224783E-2</v>
      </c>
      <c r="BF4" s="1">
        <v>-1.3490864763575619E-2</v>
      </c>
      <c r="BG4" s="1">
        <v>-1.3314343720228369E-2</v>
      </c>
      <c r="BH4" s="1">
        <v>-7.7136100575805706E-3</v>
      </c>
      <c r="BI4" s="1">
        <v>-1.027274773427677E-2</v>
      </c>
      <c r="BJ4" s="1">
        <v>-2.9269637487180249E-2</v>
      </c>
      <c r="BK4" s="1">
        <v>7.0372244262880843E-2</v>
      </c>
      <c r="BL4" s="1">
        <v>6.772523211680069E-2</v>
      </c>
      <c r="BM4" s="1">
        <v>-9.9385992399658618E-2</v>
      </c>
      <c r="BN4" s="1">
        <v>-2.582796541759786E-2</v>
      </c>
      <c r="BO4" s="1">
        <v>3.4779141292637789E-2</v>
      </c>
      <c r="BP4" s="1">
        <v>-2.5899414423164829E-2</v>
      </c>
      <c r="BQ4" s="1">
        <v>-2.787889341786259E-2</v>
      </c>
      <c r="BR4" s="1">
        <v>5.0486520404519161E-2</v>
      </c>
      <c r="BS4" s="1">
        <v>-1.6387840235134388E-2</v>
      </c>
      <c r="BT4" s="1">
        <v>1.380782857418706E-2</v>
      </c>
      <c r="BU4" s="1">
        <v>9.0149138288775615E-3</v>
      </c>
      <c r="BV4" s="1">
        <v>2.2478499234861931E-2</v>
      </c>
      <c r="BW4" s="1">
        <v>-1.2552615780671159E-2</v>
      </c>
      <c r="BX4" s="1">
        <v>1.2392386926629719E-2</v>
      </c>
      <c r="BY4" s="1">
        <v>6.0429518092163671E-3</v>
      </c>
      <c r="BZ4" s="1">
        <v>-8.5825580232337228E-3</v>
      </c>
      <c r="CA4" s="1">
        <v>7.5604398801906456E-3</v>
      </c>
      <c r="CB4" s="1">
        <v>-1.6581151480283531E-2</v>
      </c>
      <c r="CC4" s="1">
        <v>1.7927282627569111E-2</v>
      </c>
      <c r="CD4" s="1">
        <v>-5.4925481355908952E-3</v>
      </c>
      <c r="CE4" s="1">
        <v>9.1956985068411545E-3</v>
      </c>
      <c r="CF4" s="1">
        <v>-1.221741034810171E-2</v>
      </c>
      <c r="CG4" s="1">
        <v>1.382583195010967E-2</v>
      </c>
      <c r="CH4" s="1">
        <v>3.4695556734736177E-2</v>
      </c>
      <c r="CI4" s="1">
        <v>-3.3654022577769629E-2</v>
      </c>
      <c r="CJ4" s="1">
        <v>5.7916794245565194E-4</v>
      </c>
      <c r="CK4" s="1">
        <v>6.2468028466688126E-5</v>
      </c>
    </row>
    <row r="5" spans="1:89" x14ac:dyDescent="0.2">
      <c r="A5" s="10"/>
      <c r="B5" s="1" t="s">
        <v>2</v>
      </c>
      <c r="C5" s="1">
        <v>-2.8272287026681071E-2</v>
      </c>
      <c r="D5" s="1">
        <v>-2.0933118451374878E-3</v>
      </c>
      <c r="E5" s="1">
        <v>-1.4814364550016191E-3</v>
      </c>
      <c r="F5" s="2">
        <v>0.21488403828870961</v>
      </c>
      <c r="G5" s="1">
        <v>-7.2974886085576229E-2</v>
      </c>
      <c r="H5" s="1">
        <v>-3.7457732195159128E-3</v>
      </c>
      <c r="I5" s="2">
        <v>0.22324381570037269</v>
      </c>
      <c r="J5" s="2">
        <v>0.19995324034355469</v>
      </c>
      <c r="K5" s="1">
        <v>-1.5750900112914131E-2</v>
      </c>
      <c r="L5" s="1">
        <v>5.3715600593448043E-2</v>
      </c>
      <c r="M5" s="2">
        <v>0.43268130606188659</v>
      </c>
      <c r="N5" s="2">
        <v>0.29327332227853342</v>
      </c>
      <c r="O5" s="2">
        <v>-0.18195982469544719</v>
      </c>
      <c r="P5" s="1">
        <v>0.13250928221129241</v>
      </c>
      <c r="Q5" s="1">
        <v>2.4470006113609211E-2</v>
      </c>
      <c r="R5" s="1">
        <v>9.1680301073981424E-2</v>
      </c>
      <c r="S5" s="1">
        <v>-8.4344381988774239E-2</v>
      </c>
      <c r="T5" s="1">
        <v>0.13738583666339141</v>
      </c>
      <c r="U5" s="1">
        <v>-1.575090011291428E-2</v>
      </c>
      <c r="V5" s="1">
        <v>-4.7874179096745503E-2</v>
      </c>
      <c r="W5" s="1">
        <v>-6.3284588380517176E-2</v>
      </c>
      <c r="X5" s="1">
        <v>7.6004734713246994E-2</v>
      </c>
      <c r="Y5" s="1">
        <v>4.6907215292158307E-2</v>
      </c>
      <c r="Z5" s="1">
        <v>-6.0402811124922413E-2</v>
      </c>
      <c r="AA5" s="1">
        <v>-4.5120062217086573E-2</v>
      </c>
      <c r="AB5" s="1">
        <v>0.14773777339141411</v>
      </c>
      <c r="AC5" s="1">
        <v>1.147139109778658E-2</v>
      </c>
      <c r="AD5" s="1">
        <v>0.12712631717942829</v>
      </c>
      <c r="AE5" s="1">
        <v>8.099646669202322E-2</v>
      </c>
      <c r="AF5" s="1">
        <v>1.43767897979824E-2</v>
      </c>
      <c r="AG5" s="1">
        <v>8.3345158011553941E-2</v>
      </c>
      <c r="AH5" s="1">
        <v>-3.1916174715424302E-2</v>
      </c>
      <c r="AI5" s="2">
        <v>0.36910972266195963</v>
      </c>
      <c r="AJ5" s="2">
        <v>0.26070604735818931</v>
      </c>
      <c r="AK5" s="1">
        <v>-2.6439900047421541E-2</v>
      </c>
      <c r="AL5" s="1">
        <v>-5.8085384419018421E-2</v>
      </c>
      <c r="AM5" s="1">
        <v>-4.4151304334499611E-2</v>
      </c>
      <c r="AN5" s="1">
        <v>6.1340613442836048E-2</v>
      </c>
      <c r="AO5" s="1">
        <v>5.4762741766614401E-2</v>
      </c>
      <c r="AP5" s="1">
        <v>5.1640020563369887E-2</v>
      </c>
      <c r="AQ5" s="2">
        <v>0.18760331652140169</v>
      </c>
      <c r="AR5" s="1">
        <v>-6.6677447599594555E-2</v>
      </c>
      <c r="AS5" s="1">
        <v>2.671619624462026E-3</v>
      </c>
      <c r="AT5" s="1">
        <v>-6.9797479544794927E-2</v>
      </c>
      <c r="AU5" s="1">
        <v>0.1265995878673595</v>
      </c>
      <c r="AV5" s="2">
        <v>0.19746109846132939</v>
      </c>
      <c r="AW5" s="1">
        <v>5.9764920493938493E-2</v>
      </c>
      <c r="AX5" s="1">
        <v>0.118446283117615</v>
      </c>
      <c r="AY5" s="1">
        <v>-3.9465855680395491E-2</v>
      </c>
      <c r="AZ5" s="1">
        <v>-1.457945507551725E-2</v>
      </c>
      <c r="BA5" s="1">
        <v>5.211646819451031E-2</v>
      </c>
      <c r="BB5" s="1">
        <v>0.11345619877547</v>
      </c>
      <c r="BC5" s="1">
        <v>7.2295788054814902E-2</v>
      </c>
      <c r="BD5" s="1">
        <v>-1.6526186653821211E-2</v>
      </c>
      <c r="BE5" s="1">
        <v>-2.5242137287225391E-2</v>
      </c>
      <c r="BF5" s="1">
        <v>-6.3982809435034538E-2</v>
      </c>
      <c r="BG5" s="1">
        <v>-3.6654307408848188E-2</v>
      </c>
      <c r="BH5" s="1">
        <v>-4.2995795518074767E-2</v>
      </c>
      <c r="BI5" s="1">
        <v>-2.2741924336738741E-2</v>
      </c>
      <c r="BJ5" s="1">
        <v>-6.2726486964709338E-2</v>
      </c>
      <c r="BK5" s="1">
        <v>9.8327332953655078E-3</v>
      </c>
      <c r="BL5" s="1">
        <v>0.1286953255778791</v>
      </c>
      <c r="BM5" s="1">
        <v>-5.964612841235651E-2</v>
      </c>
      <c r="BN5" s="1">
        <v>-8.5262883156046423E-2</v>
      </c>
      <c r="BO5" s="1">
        <v>-6.4166628490649982E-2</v>
      </c>
      <c r="BP5" s="1">
        <v>-5.3974794168660127E-2</v>
      </c>
      <c r="BQ5" s="1">
        <v>-2.5247707604631249E-2</v>
      </c>
      <c r="BR5" s="1">
        <v>1.805795527699975E-2</v>
      </c>
      <c r="BS5" s="1">
        <v>-1.8723911678324798E-2</v>
      </c>
      <c r="BT5" s="1">
        <v>7.5927118645691856E-3</v>
      </c>
      <c r="BU5" s="1">
        <v>-4.0909204689188329E-2</v>
      </c>
      <c r="BV5" s="1">
        <v>4.7282963639184203E-2</v>
      </c>
      <c r="BW5" s="1">
        <v>-7.1728793658636103E-2</v>
      </c>
      <c r="BX5" s="1">
        <v>3.1676121126085838E-2</v>
      </c>
      <c r="BY5" s="1">
        <v>-2.5261719947910159E-2</v>
      </c>
      <c r="BZ5" s="1">
        <v>9.2753735696072485E-3</v>
      </c>
      <c r="CA5" s="1">
        <v>-2.9487772724087841E-2</v>
      </c>
      <c r="CB5" s="1">
        <v>-6.4193666730587564E-3</v>
      </c>
      <c r="CC5" s="1">
        <v>-7.1247987246214391E-3</v>
      </c>
      <c r="CD5" s="1">
        <v>1.9379556050463501E-2</v>
      </c>
      <c r="CE5" s="1">
        <v>-2.7944033972159488E-2</v>
      </c>
      <c r="CF5" s="1">
        <v>-1.286334861485774E-2</v>
      </c>
      <c r="CG5" s="1">
        <v>1.099357072707878E-2</v>
      </c>
      <c r="CH5" s="1">
        <v>-3.9551301960437393E-2</v>
      </c>
      <c r="CI5" s="1">
        <v>4.0972948291802796E-3</v>
      </c>
      <c r="CJ5" s="1">
        <v>5.039425404715657E-3</v>
      </c>
      <c r="CK5" s="1">
        <v>-8.4569248983468147E-3</v>
      </c>
    </row>
    <row r="6" spans="1:89" x14ac:dyDescent="0.2">
      <c r="A6" s="10"/>
      <c r="B6" s="1" t="s">
        <v>3</v>
      </c>
      <c r="C6" s="1">
        <v>-0.15208456389516639</v>
      </c>
      <c r="D6" s="1">
        <v>6.8193020026527662E-2</v>
      </c>
      <c r="E6" s="1">
        <v>6.4610867135033473E-2</v>
      </c>
      <c r="F6" s="2">
        <v>0.18442542906497289</v>
      </c>
      <c r="G6" s="1">
        <v>-0.10839782842171761</v>
      </c>
      <c r="H6" s="1">
        <v>0.13715423327069701</v>
      </c>
      <c r="I6" s="1">
        <v>-5.9100987759060142E-2</v>
      </c>
      <c r="J6" s="1">
        <v>-9.1419111698750333E-3</v>
      </c>
      <c r="K6" s="1">
        <v>6.6681831776076145E-2</v>
      </c>
      <c r="L6" s="1">
        <v>-2.5869980118263549E-2</v>
      </c>
      <c r="M6" s="1">
        <v>-6.0912713655812689E-2</v>
      </c>
      <c r="N6" s="1">
        <v>0.1483940666056992</v>
      </c>
      <c r="O6" s="1">
        <v>4.4355995325760643E-2</v>
      </c>
      <c r="P6" s="1">
        <v>-1.1643445037847269E-2</v>
      </c>
      <c r="Q6" s="1">
        <v>4.3963530693607818E-2</v>
      </c>
      <c r="R6" s="1">
        <v>1.4941871539548981E-2</v>
      </c>
      <c r="S6" s="1">
        <v>-8.2959510683930801E-2</v>
      </c>
      <c r="T6" s="1">
        <v>0.11821259893352121</v>
      </c>
      <c r="U6" s="1">
        <v>6.6681831776076159E-2</v>
      </c>
      <c r="V6" s="1">
        <v>9.7117593202935906E-2</v>
      </c>
      <c r="W6" s="1">
        <v>5.2073848028039812E-2</v>
      </c>
      <c r="X6" s="1">
        <v>0.1160827023146532</v>
      </c>
      <c r="Y6" s="1">
        <v>-4.0962958020881483E-3</v>
      </c>
      <c r="Z6" s="1">
        <v>-0.14625601274263331</v>
      </c>
      <c r="AA6" s="1">
        <v>-5.9697641978168799E-2</v>
      </c>
      <c r="AB6" s="1">
        <v>-8.5012589595067911E-2</v>
      </c>
      <c r="AC6" s="1">
        <v>-0.1200331885280201</v>
      </c>
      <c r="AD6" s="1">
        <v>4.7023977984596652E-3</v>
      </c>
      <c r="AE6" s="1">
        <v>0.1016753004195933</v>
      </c>
      <c r="AF6" s="1">
        <v>-3.2579668393013107E-2</v>
      </c>
      <c r="AG6" s="1">
        <v>7.824952037103669E-2</v>
      </c>
      <c r="AH6" s="1">
        <v>-1.8616704775154751E-2</v>
      </c>
      <c r="AI6" s="1">
        <v>-0.15281610334578949</v>
      </c>
      <c r="AJ6" s="1">
        <v>-6.5143604350970698E-3</v>
      </c>
      <c r="AK6" s="1">
        <v>2.0894707427816119E-4</v>
      </c>
      <c r="AL6" s="1">
        <v>-4.7695782839095938E-2</v>
      </c>
      <c r="AM6" s="1">
        <v>7.476102269748275E-3</v>
      </c>
      <c r="AN6" s="1">
        <v>-3.5271258286702551E-3</v>
      </c>
      <c r="AO6" s="1">
        <v>-8.0353661845110058E-3</v>
      </c>
      <c r="AP6" s="1">
        <v>7.3637418594441437E-2</v>
      </c>
      <c r="AQ6" s="1">
        <v>0.1459186538698691</v>
      </c>
      <c r="AR6" s="1">
        <v>2.5089633482118E-3</v>
      </c>
      <c r="AS6" s="1">
        <v>2.7378042758820528E-3</v>
      </c>
      <c r="AT6" s="1">
        <v>-3.1088303051678111E-2</v>
      </c>
      <c r="AU6" s="1">
        <v>-4.9196886306088119E-3</v>
      </c>
      <c r="AV6" s="1">
        <v>9.1543536850471466E-2</v>
      </c>
      <c r="AW6" s="2">
        <v>-0.26560601686193919</v>
      </c>
      <c r="AX6" s="2">
        <v>-0.17513736973264191</v>
      </c>
      <c r="AY6" s="1">
        <v>8.1293705226825622E-2</v>
      </c>
      <c r="AZ6" s="1">
        <v>-1.6119411995501931E-2</v>
      </c>
      <c r="BA6" s="2">
        <v>-0.18128365658003701</v>
      </c>
      <c r="BB6" s="2">
        <v>-0.18646217402261281</v>
      </c>
      <c r="BC6" s="2">
        <v>-0.20180882104017919</v>
      </c>
      <c r="BD6" s="1">
        <v>-6.0621205542455432E-2</v>
      </c>
      <c r="BE6" s="1">
        <v>-9.4476101003886492E-3</v>
      </c>
      <c r="BF6" s="1">
        <v>-2.4360120308592258E-2</v>
      </c>
      <c r="BG6" s="1">
        <v>4.2631447227326418E-2</v>
      </c>
      <c r="BH6" s="1">
        <v>1.4739540428365989E-2</v>
      </c>
      <c r="BI6" s="1">
        <v>8.0920603220525494E-2</v>
      </c>
      <c r="BJ6" s="1">
        <v>-5.6929931240744282E-2</v>
      </c>
      <c r="BK6" s="1">
        <v>-9.071155933636792E-3</v>
      </c>
      <c r="BL6" s="1">
        <v>-1.5807282715336369E-2</v>
      </c>
      <c r="BM6" s="1">
        <v>-2.316518066282992E-2</v>
      </c>
      <c r="BN6" s="1">
        <v>-3.2474422841697582E-2</v>
      </c>
      <c r="BO6" s="1">
        <v>3.3431095528624312E-2</v>
      </c>
      <c r="BP6" s="2">
        <v>0.30314584445961451</v>
      </c>
      <c r="BQ6" s="1">
        <v>0.1309099321679407</v>
      </c>
      <c r="BR6" s="1">
        <v>0.12405911939563891</v>
      </c>
      <c r="BS6" s="1">
        <v>-6.9503393757756632E-2</v>
      </c>
      <c r="BT6" s="1">
        <v>0.1407198569667901</v>
      </c>
      <c r="BU6" s="1">
        <v>-0.1418562313036415</v>
      </c>
      <c r="BV6" s="1">
        <v>0.1015041021508387</v>
      </c>
      <c r="BW6" s="1">
        <v>-7.1560218121199559E-2</v>
      </c>
      <c r="BX6" s="1">
        <v>0.12639743664733291</v>
      </c>
      <c r="BY6" s="1">
        <v>-4.4496983579155283E-2</v>
      </c>
      <c r="BZ6" s="1">
        <v>0.14875210049517429</v>
      </c>
      <c r="CA6" s="1">
        <v>-7.5815934314661784E-2</v>
      </c>
      <c r="CB6" s="2">
        <v>0.169183398928342</v>
      </c>
      <c r="CC6" s="1">
        <v>-0.1003160761871467</v>
      </c>
      <c r="CD6" s="2">
        <v>0.23382886064040809</v>
      </c>
      <c r="CE6" s="1">
        <v>-0.15430755843570709</v>
      </c>
      <c r="CF6" s="2">
        <v>0.166014172956825</v>
      </c>
      <c r="CG6" s="1">
        <v>-0.1061493077658065</v>
      </c>
      <c r="CH6" s="1">
        <v>0.16457738359129581</v>
      </c>
      <c r="CI6" s="1">
        <v>-0.11573015912886279</v>
      </c>
      <c r="CJ6" s="1">
        <v>0.1535443360351253</v>
      </c>
      <c r="CK6" s="1">
        <v>-3.6116983226048713E-2</v>
      </c>
    </row>
    <row r="7" spans="1:89" x14ac:dyDescent="0.2">
      <c r="A7" s="10"/>
      <c r="B7" s="1" t="s">
        <v>4</v>
      </c>
      <c r="C7" s="2">
        <v>0.28871619389249442</v>
      </c>
      <c r="D7" s="1">
        <v>-7.1711454795410301E-2</v>
      </c>
      <c r="E7" s="1">
        <v>-4.5993877083768619E-2</v>
      </c>
      <c r="F7" s="1">
        <v>-0.11518087994793</v>
      </c>
      <c r="G7" s="1">
        <v>7.183709420911899E-2</v>
      </c>
      <c r="H7" s="1">
        <v>-8.5821054916604023E-2</v>
      </c>
      <c r="I7" s="2">
        <v>0.15810224499683259</v>
      </c>
      <c r="J7" s="2">
        <v>0.13838306260279989</v>
      </c>
      <c r="K7" s="1">
        <v>-9.3003363030345038E-2</v>
      </c>
      <c r="L7" s="1">
        <v>8.1750717894152447E-2</v>
      </c>
      <c r="M7" s="1">
        <v>5.0369169415043068E-2</v>
      </c>
      <c r="N7" s="1">
        <v>-9.4445485371825233E-2</v>
      </c>
      <c r="O7" s="1">
        <v>-8.7435721566361535E-3</v>
      </c>
      <c r="P7" s="1">
        <v>3.9989614277952772E-2</v>
      </c>
      <c r="Q7" s="1">
        <v>3.8983622508381777E-2</v>
      </c>
      <c r="R7" s="1">
        <v>7.0498072757959787E-2</v>
      </c>
      <c r="S7" s="1">
        <v>0.1106488270113508</v>
      </c>
      <c r="T7" s="1">
        <v>-1.389505298401314E-2</v>
      </c>
      <c r="U7" s="1">
        <v>-9.3003363030344996E-2</v>
      </c>
      <c r="V7" s="2">
        <v>-0.27995150011949071</v>
      </c>
      <c r="W7" s="1">
        <v>-8.0390603508281921E-2</v>
      </c>
      <c r="X7" s="1">
        <v>-0.1056230915925773</v>
      </c>
      <c r="Y7" s="1">
        <v>5.9239622198310408E-2</v>
      </c>
      <c r="Z7" s="2">
        <v>0.22566031562874381</v>
      </c>
      <c r="AA7" s="1">
        <v>4.7768502371066078E-3</v>
      </c>
      <c r="AB7" s="1">
        <v>2.0590479203551199E-2</v>
      </c>
      <c r="AC7" s="1">
        <v>5.541288000345234E-2</v>
      </c>
      <c r="AD7" s="1">
        <v>1.5770242232422599E-2</v>
      </c>
      <c r="AE7" s="1">
        <v>8.7843749864147683E-2</v>
      </c>
      <c r="AF7" s="1">
        <v>7.1254283369015972E-2</v>
      </c>
      <c r="AG7" s="1">
        <v>5.7123262919268718E-2</v>
      </c>
      <c r="AH7" s="1">
        <v>-8.6857192474829106E-3</v>
      </c>
      <c r="AI7" s="1">
        <v>4.7752593232559079E-2</v>
      </c>
      <c r="AJ7" s="1">
        <v>-1.9394300806095711E-2</v>
      </c>
      <c r="AK7" s="1">
        <v>-3.5362389736859387E-2</v>
      </c>
      <c r="AL7" s="1">
        <v>1.0193822439101779E-2</v>
      </c>
      <c r="AM7" s="1">
        <v>-3.488675482702458E-2</v>
      </c>
      <c r="AN7" s="1">
        <v>8.1897957261705037E-3</v>
      </c>
      <c r="AO7" s="1">
        <v>3.6004638026828337E-2</v>
      </c>
      <c r="AP7" s="1">
        <v>-9.7541024983315211E-2</v>
      </c>
      <c r="AQ7" s="1">
        <v>-4.1011348278971557E-2</v>
      </c>
      <c r="AR7" s="1">
        <v>-5.4551934490948903E-2</v>
      </c>
      <c r="AS7" s="1">
        <v>7.0059522277664977E-3</v>
      </c>
      <c r="AT7" s="1">
        <v>8.4095363440992735E-2</v>
      </c>
      <c r="AU7" s="1">
        <v>-2.3186846544703529E-2</v>
      </c>
      <c r="AV7" s="1">
        <v>-7.5321166766348327E-2</v>
      </c>
      <c r="AW7" s="2">
        <v>-0.37511437833637618</v>
      </c>
      <c r="AX7" s="1">
        <v>0.1045139612215855</v>
      </c>
      <c r="AY7" s="1">
        <v>-0.11704692807920471</v>
      </c>
      <c r="AZ7" s="2">
        <v>-0.18837094052284831</v>
      </c>
      <c r="BA7" s="1">
        <v>9.4158307915094469E-2</v>
      </c>
      <c r="BB7" s="2">
        <v>0.15420922728694211</v>
      </c>
      <c r="BC7" s="1">
        <v>7.661128866199815E-2</v>
      </c>
      <c r="BD7" s="1">
        <v>5.1487785775638541E-2</v>
      </c>
      <c r="BE7" s="1">
        <v>5.8812824894542592E-2</v>
      </c>
      <c r="BF7" s="1">
        <v>1.604536974957688E-2</v>
      </c>
      <c r="BG7" s="1">
        <v>2.81337452438007E-2</v>
      </c>
      <c r="BH7" s="1">
        <v>8.2560036683636089E-3</v>
      </c>
      <c r="BI7" s="1">
        <v>6.6992281122628949E-2</v>
      </c>
      <c r="BJ7" s="1">
        <v>4.7413376687672412E-2</v>
      </c>
      <c r="BK7" s="1">
        <v>-2.0111355264850639E-2</v>
      </c>
      <c r="BL7" s="1">
        <v>-3.2372999772784718E-2</v>
      </c>
      <c r="BM7" s="1">
        <v>9.6455647722131249E-2</v>
      </c>
      <c r="BN7" s="1">
        <v>4.4965918446019423E-2</v>
      </c>
      <c r="BO7" s="1">
        <v>-1.6458205363312949E-2</v>
      </c>
      <c r="BP7" s="2">
        <v>0.45064124581111542</v>
      </c>
      <c r="BQ7" s="2">
        <v>0.18697879298638681</v>
      </c>
      <c r="BR7" s="1">
        <v>-4.032563683780007E-2</v>
      </c>
      <c r="BS7" s="1">
        <v>2.4933700965157339E-2</v>
      </c>
      <c r="BT7" s="1">
        <v>-7.8988297998955098E-2</v>
      </c>
      <c r="BU7" s="1">
        <v>9.8362322717319345E-2</v>
      </c>
      <c r="BV7" s="1">
        <v>2.7617343916997449E-2</v>
      </c>
      <c r="BW7" s="1">
        <v>-5.8782128614605729E-3</v>
      </c>
      <c r="BX7" s="1">
        <v>3.4282549608892203E-2</v>
      </c>
      <c r="BY7" s="1">
        <v>-1.796368178892388E-2</v>
      </c>
      <c r="BZ7" s="1">
        <v>2.9577874865261821E-2</v>
      </c>
      <c r="CA7" s="1">
        <v>-2.4511252609314812E-4</v>
      </c>
      <c r="CB7" s="1">
        <v>0.10525334236749979</v>
      </c>
      <c r="CC7" s="1">
        <v>-4.8280581661648829E-2</v>
      </c>
      <c r="CD7" s="1">
        <v>3.945712453563887E-2</v>
      </c>
      <c r="CE7" s="1">
        <v>-1.8300104119640101E-2</v>
      </c>
      <c r="CF7" s="1">
        <v>8.4147499174945184E-2</v>
      </c>
      <c r="CG7" s="1">
        <v>-4.8465422313584292E-2</v>
      </c>
      <c r="CH7" s="1">
        <v>9.8943780301398263E-2</v>
      </c>
      <c r="CI7" s="1">
        <v>-7.3176827041298798E-2</v>
      </c>
      <c r="CJ7" s="1">
        <v>0.112047340333348</v>
      </c>
      <c r="CK7" s="1">
        <v>-2.9014240965088939E-2</v>
      </c>
    </row>
    <row r="8" spans="1:89" x14ac:dyDescent="0.2">
      <c r="A8" s="10"/>
      <c r="B8" s="1" t="s">
        <v>10</v>
      </c>
      <c r="C8" s="1">
        <v>-8.8709522088455103E-2</v>
      </c>
      <c r="D8" s="1">
        <v>0.1418299398630318</v>
      </c>
      <c r="E8" s="1">
        <v>0.13450425901410759</v>
      </c>
      <c r="F8" s="1">
        <v>7.7239302093457043E-3</v>
      </c>
      <c r="G8" s="1">
        <v>-4.9638543870886093E-2</v>
      </c>
      <c r="H8" s="1">
        <v>-1.1520667541502769E-3</v>
      </c>
      <c r="I8" s="2">
        <v>-0.17372838314169059</v>
      </c>
      <c r="J8" s="1">
        <v>-0.10695763593692199</v>
      </c>
      <c r="K8" s="1">
        <v>5.4408410838153433E-2</v>
      </c>
      <c r="L8" s="1">
        <v>-0.1048133121511243</v>
      </c>
      <c r="M8" s="1">
        <v>0.15815674893511911</v>
      </c>
      <c r="N8" s="1">
        <v>6.520290881436297E-2</v>
      </c>
      <c r="O8" s="1">
        <v>-4.3820798306477809E-2</v>
      </c>
      <c r="P8" s="1">
        <v>-9.5758582331447892E-2</v>
      </c>
      <c r="Q8" s="1">
        <v>-3.5117427787299982E-2</v>
      </c>
      <c r="R8" s="1">
        <v>-0.15521821346409501</v>
      </c>
      <c r="S8" s="1">
        <v>-8.3566141821617812E-2</v>
      </c>
      <c r="T8" s="1">
        <v>-0.14378303868028919</v>
      </c>
      <c r="U8" s="1">
        <v>5.4408410838153523E-2</v>
      </c>
      <c r="V8" s="2">
        <v>-0.25468342368531949</v>
      </c>
      <c r="W8" s="1">
        <v>-0.14916548556591089</v>
      </c>
      <c r="X8" s="1">
        <v>-0.1276342083727357</v>
      </c>
      <c r="Y8" s="1">
        <v>-0.12562842031079291</v>
      </c>
      <c r="Z8" s="1">
        <v>-8.0844076096123138E-2</v>
      </c>
      <c r="AA8" s="1">
        <v>2.039493739621593E-2</v>
      </c>
      <c r="AB8" s="1">
        <v>-7.498325855203021E-2</v>
      </c>
      <c r="AC8" s="1">
        <v>7.6302565012449433E-2</v>
      </c>
      <c r="AD8" s="1">
        <v>-1.6607752598954091E-2</v>
      </c>
      <c r="AE8" s="2">
        <v>-0.18499461323288721</v>
      </c>
      <c r="AF8" s="1">
        <v>-9.940019493263029E-3</v>
      </c>
      <c r="AG8" s="1">
        <v>-0.1099147752303298</v>
      </c>
      <c r="AH8" s="1">
        <v>9.6329327374885962E-2</v>
      </c>
      <c r="AI8" s="1">
        <v>0.16356509498313401</v>
      </c>
      <c r="AJ8" s="1">
        <v>9.8634525744302232E-2</v>
      </c>
      <c r="AK8" s="1">
        <v>9.8983012452520128E-2</v>
      </c>
      <c r="AL8" s="2">
        <v>0.28370097907955549</v>
      </c>
      <c r="AM8" s="2">
        <v>0.23326121387034129</v>
      </c>
      <c r="AN8" s="1">
        <v>1.706324435077523E-2</v>
      </c>
      <c r="AO8" s="2">
        <v>-0.22777803871561031</v>
      </c>
      <c r="AP8" s="2">
        <v>0.17732480794024069</v>
      </c>
      <c r="AQ8" s="2">
        <v>-0.26830994778183809</v>
      </c>
      <c r="AR8" s="2">
        <v>0.26823641492806971</v>
      </c>
      <c r="AS8" s="1">
        <v>1.2779741789731461E-3</v>
      </c>
      <c r="AT8" s="1">
        <v>-0.1142583312015729</v>
      </c>
      <c r="AU8" s="1">
        <v>8.9040394139559151E-2</v>
      </c>
      <c r="AV8" s="1">
        <v>8.2470269675047114E-2</v>
      </c>
      <c r="AW8" s="1">
        <v>-0.14532430226938561</v>
      </c>
      <c r="AX8" s="1">
        <v>0.1227591048681524</v>
      </c>
      <c r="AY8" s="1">
        <v>-2.6320880304444821E-2</v>
      </c>
      <c r="AZ8" s="1">
        <v>9.2281949087029955E-2</v>
      </c>
      <c r="BA8" s="1">
        <v>-1.2299630498630979E-2</v>
      </c>
      <c r="BB8" s="1">
        <v>-4.027857984650713E-2</v>
      </c>
      <c r="BC8" s="1">
        <v>7.6841315994775491E-2</v>
      </c>
      <c r="BD8" s="1">
        <v>-7.9196855626573661E-3</v>
      </c>
      <c r="BE8" s="1">
        <v>6.8354670250319882E-2</v>
      </c>
      <c r="BF8" s="1">
        <v>3.3662717246443812E-2</v>
      </c>
      <c r="BG8" s="1">
        <v>4.6641933650482567E-2</v>
      </c>
      <c r="BH8" s="1">
        <v>-1.6173655696516291E-2</v>
      </c>
      <c r="BI8" s="1">
        <v>4.1918618042581852E-2</v>
      </c>
      <c r="BJ8" s="1">
        <v>5.5036457128660732E-2</v>
      </c>
      <c r="BK8" s="1">
        <v>0.1358533637014456</v>
      </c>
      <c r="BL8" s="1">
        <v>0.1216902427673586</v>
      </c>
      <c r="BM8" s="1">
        <v>-7.0419229090720209E-2</v>
      </c>
      <c r="BN8" s="1">
        <v>-2.5473472650827639E-2</v>
      </c>
      <c r="BO8" s="1">
        <v>4.999469762927472E-2</v>
      </c>
      <c r="BP8" s="2">
        <v>0.17129555675743169</v>
      </c>
      <c r="BQ8" s="1">
        <v>0.1176884062809619</v>
      </c>
      <c r="BR8" s="1">
        <v>4.1065900055167297E-2</v>
      </c>
      <c r="BS8" s="1">
        <v>-2.088089239140201E-2</v>
      </c>
      <c r="BT8" s="1">
        <v>2.432787835994317E-2</v>
      </c>
      <c r="BU8" s="1">
        <v>-3.8050825524998153E-2</v>
      </c>
      <c r="BV8" s="1">
        <v>5.4983094341715007E-2</v>
      </c>
      <c r="BW8" s="1">
        <v>-5.9526424971675533E-2</v>
      </c>
      <c r="BX8" s="1">
        <v>-6.1176514732899871E-3</v>
      </c>
      <c r="BY8" s="1">
        <v>3.6094741286584901E-2</v>
      </c>
      <c r="BZ8" s="1">
        <v>-1.0209688962161701E-2</v>
      </c>
      <c r="CA8" s="1">
        <v>1.019413754914889E-2</v>
      </c>
      <c r="CB8" s="1">
        <v>1.37201180460126E-2</v>
      </c>
      <c r="CC8" s="1">
        <v>-2.776203377751674E-2</v>
      </c>
      <c r="CD8" s="1">
        <v>-3.3104409016576422E-2</v>
      </c>
      <c r="CE8" s="1">
        <v>2.392860880010101E-2</v>
      </c>
      <c r="CF8" s="1">
        <v>-1.4673451422846651E-2</v>
      </c>
      <c r="CG8" s="1">
        <v>5.1024546225943383E-3</v>
      </c>
      <c r="CH8" s="1">
        <v>-3.1312422576099397E-2</v>
      </c>
      <c r="CI8" s="1">
        <v>3.7943610106401328E-2</v>
      </c>
      <c r="CJ8" s="1">
        <v>-3.3102862134672742E-2</v>
      </c>
      <c r="CK8" s="1">
        <v>8.6783720727545699E-3</v>
      </c>
    </row>
    <row r="9" spans="1:89" x14ac:dyDescent="0.2">
      <c r="A9" s="10"/>
      <c r="B9" s="1" t="s">
        <v>12</v>
      </c>
      <c r="C9" s="2">
        <v>-0.31350789114423311</v>
      </c>
      <c r="D9" s="1">
        <v>5.5232835893048171E-3</v>
      </c>
      <c r="E9" s="1">
        <v>-2.7189899101959351E-2</v>
      </c>
      <c r="F9" s="1">
        <v>0.10476885328453781</v>
      </c>
      <c r="G9" s="2">
        <v>0.1444791113504014</v>
      </c>
      <c r="H9" s="1">
        <v>4.1962284609504463E-2</v>
      </c>
      <c r="I9" s="1">
        <v>-3.6700818076643972E-2</v>
      </c>
      <c r="J9" s="1">
        <v>2.7339298495274281E-2</v>
      </c>
      <c r="K9" s="1">
        <v>-0.1089477882944208</v>
      </c>
      <c r="L9" s="1">
        <v>-7.1402222502373963E-2</v>
      </c>
      <c r="M9" s="2">
        <v>0.17851981280108309</v>
      </c>
      <c r="N9" s="1">
        <v>2.6830960062252551E-2</v>
      </c>
      <c r="O9" s="1">
        <v>-4.9000244114770497E-2</v>
      </c>
      <c r="P9" s="1">
        <v>-0.12618305629915519</v>
      </c>
      <c r="Q9" s="1">
        <v>6.657991286696284E-2</v>
      </c>
      <c r="R9" s="2">
        <v>-0.25175223329916868</v>
      </c>
      <c r="S9" s="1">
        <v>-1.085747916823002E-2</v>
      </c>
      <c r="T9" s="1">
        <v>-0.12820946836192851</v>
      </c>
      <c r="U9" s="1">
        <v>-0.1089477882944208</v>
      </c>
      <c r="V9" s="2">
        <v>0.5481785432599835</v>
      </c>
      <c r="W9" s="2">
        <v>0.27035514517856862</v>
      </c>
      <c r="X9" s="1">
        <v>9.487528240997907E-2</v>
      </c>
      <c r="Y9" s="1">
        <v>5.484811973604678E-2</v>
      </c>
      <c r="Z9" s="2">
        <v>0.19839244788851279</v>
      </c>
      <c r="AA9" s="1">
        <v>-3.0062938543652679E-2</v>
      </c>
      <c r="AB9" s="1">
        <v>8.7021244145032456E-2</v>
      </c>
      <c r="AC9" s="2">
        <v>0.14987325225219089</v>
      </c>
      <c r="AD9" s="1">
        <v>7.8145705069098109E-3</v>
      </c>
      <c r="AE9" s="1">
        <v>1.329349863760285E-2</v>
      </c>
      <c r="AF9" s="1">
        <v>0.1065056125149778</v>
      </c>
      <c r="AG9" s="1">
        <v>1.1039253789240609E-3</v>
      </c>
      <c r="AH9" s="1">
        <v>0.1226644373995342</v>
      </c>
      <c r="AI9" s="1">
        <v>8.9413946942475855E-2</v>
      </c>
      <c r="AJ9" s="1">
        <v>-4.5330509966850251E-2</v>
      </c>
      <c r="AK9" s="1">
        <v>-2.37130211871041E-2</v>
      </c>
      <c r="AL9" s="1">
        <v>-5.0320248817720861E-2</v>
      </c>
      <c r="AM9" s="1">
        <v>6.7768616345950328E-2</v>
      </c>
      <c r="AN9" s="1">
        <v>3.6387989236750858E-2</v>
      </c>
      <c r="AO9" s="1">
        <v>-6.0505127397609083E-2</v>
      </c>
      <c r="AP9" s="1">
        <v>3.022488815796949E-2</v>
      </c>
      <c r="AQ9" s="1">
        <v>-1.0666591572358511E-2</v>
      </c>
      <c r="AR9" s="1">
        <v>2.3974456492315999E-2</v>
      </c>
      <c r="AS9" s="1">
        <v>-7.044988425751208E-3</v>
      </c>
      <c r="AT9" s="2">
        <v>0.14664934143699959</v>
      </c>
      <c r="AU9" s="1">
        <v>-1.496986108910996E-2</v>
      </c>
      <c r="AV9" s="1">
        <v>-9.0380919973254578E-2</v>
      </c>
      <c r="AW9" s="1">
        <v>-0.13236956556465199</v>
      </c>
      <c r="AX9" s="1">
        <v>0.1127130720628193</v>
      </c>
      <c r="AY9" s="1">
        <v>8.9635692169419037E-2</v>
      </c>
      <c r="AZ9" s="1">
        <v>-3.4206314788399E-2</v>
      </c>
      <c r="BA9" s="1">
        <v>0.1046546733927828</v>
      </c>
      <c r="BB9" s="1">
        <v>5.6331885825821368E-2</v>
      </c>
      <c r="BC9" s="1">
        <v>6.7524497372438597E-2</v>
      </c>
      <c r="BD9" s="1">
        <v>1.7597414489400609E-2</v>
      </c>
      <c r="BE9" s="1">
        <v>9.7148302016255711E-2</v>
      </c>
      <c r="BF9" s="1">
        <v>2.0633615399356889E-2</v>
      </c>
      <c r="BG9" s="1">
        <v>2.8233211355198271E-2</v>
      </c>
      <c r="BH9" s="1">
        <v>3.3987284999904169E-3</v>
      </c>
      <c r="BI9" s="1">
        <v>7.8158245059552101E-2</v>
      </c>
      <c r="BJ9" s="1">
        <v>8.0911487835529414E-2</v>
      </c>
      <c r="BK9" s="1">
        <v>-8.9512857843739649E-3</v>
      </c>
      <c r="BL9" s="1">
        <v>4.8455461564042623E-2</v>
      </c>
      <c r="BM9" s="1">
        <v>-2.6516413757612461E-2</v>
      </c>
      <c r="BN9" s="1">
        <v>-4.9920844711469512E-3</v>
      </c>
      <c r="BO9" s="1">
        <v>9.3905204087288523E-3</v>
      </c>
      <c r="BP9" s="2">
        <v>0.1535797467349958</v>
      </c>
      <c r="BQ9" s="1">
        <v>4.8225611465577349E-2</v>
      </c>
      <c r="BR9" s="1">
        <v>-7.330055521938586E-2</v>
      </c>
      <c r="BS9" s="1">
        <v>4.540426098233908E-2</v>
      </c>
      <c r="BT9" s="1">
        <v>-8.4680626655978072E-2</v>
      </c>
      <c r="BU9" s="1">
        <v>7.7275503994223671E-2</v>
      </c>
      <c r="BV9" s="1">
        <v>-2.897160961098217E-2</v>
      </c>
      <c r="BW9" s="1">
        <v>2.4946647518454341E-2</v>
      </c>
      <c r="BX9" s="1">
        <v>-5.3000551570823499E-2</v>
      </c>
      <c r="BY9" s="1">
        <v>3.5457422742718722E-2</v>
      </c>
      <c r="BZ9" s="1">
        <v>-5.4338541029633453E-2</v>
      </c>
      <c r="CA9" s="1">
        <v>6.5412842398765159E-2</v>
      </c>
      <c r="CB9" s="1">
        <v>4.8657444791040689E-3</v>
      </c>
      <c r="CC9" s="1">
        <v>1.035644318523281E-2</v>
      </c>
      <c r="CD9" s="1">
        <v>-5.3054669106086777E-2</v>
      </c>
      <c r="CE9" s="1">
        <v>4.4846859935806893E-2</v>
      </c>
      <c r="CF9" s="1">
        <v>1.719822853725873E-2</v>
      </c>
      <c r="CG9" s="1">
        <v>1.306630662741369E-2</v>
      </c>
      <c r="CH9" s="1">
        <v>8.9852836930859756E-2</v>
      </c>
      <c r="CI9" s="1">
        <v>-7.9787505822445925E-2</v>
      </c>
      <c r="CJ9" s="1">
        <v>3.2297830717208532E-3</v>
      </c>
      <c r="CK9" s="1">
        <v>1.411217257397083E-2</v>
      </c>
    </row>
    <row r="10" spans="1:89" x14ac:dyDescent="0.2">
      <c r="A10" s="10"/>
      <c r="B10" s="1" t="s">
        <v>13</v>
      </c>
      <c r="C10" s="1">
        <v>-2.1658210436070979E-2</v>
      </c>
      <c r="D10" s="1">
        <v>9.6879655741851797E-2</v>
      </c>
      <c r="E10" s="1">
        <v>0.14337868554035441</v>
      </c>
      <c r="F10" s="1">
        <v>1.6176098445029759E-2</v>
      </c>
      <c r="G10" s="1">
        <v>1.648937546447983E-2</v>
      </c>
      <c r="H10" s="2">
        <v>0.45520700741007841</v>
      </c>
      <c r="I10" s="1">
        <v>7.99697282867496E-2</v>
      </c>
      <c r="J10" s="1">
        <v>4.2912458456233107E-2</v>
      </c>
      <c r="K10" s="1">
        <v>-0.1077636210930229</v>
      </c>
      <c r="L10" s="1">
        <v>-2.1701012838664421E-2</v>
      </c>
      <c r="M10" s="1">
        <v>-1.3775483195476199E-2</v>
      </c>
      <c r="N10" s="1">
        <v>3.058926129436779E-2</v>
      </c>
      <c r="O10" s="1">
        <v>4.5675113843605397E-3</v>
      </c>
      <c r="P10" s="1">
        <v>-5.8611739354772367E-2</v>
      </c>
      <c r="Q10" s="1">
        <v>6.2418773364570128E-2</v>
      </c>
      <c r="R10" s="1">
        <v>-0.15116564677035221</v>
      </c>
      <c r="S10" s="1">
        <v>1.8878758547616531E-2</v>
      </c>
      <c r="T10" s="1">
        <v>-4.1054651220702593E-2</v>
      </c>
      <c r="U10" s="1">
        <v>-0.10776362109302309</v>
      </c>
      <c r="V10" s="2">
        <v>-0.22252988997200041</v>
      </c>
      <c r="W10" s="1">
        <v>-7.1555459696805601E-2</v>
      </c>
      <c r="X10" s="1">
        <v>-0.14887077496358411</v>
      </c>
      <c r="Y10" s="1">
        <v>1.08024878954381E-2</v>
      </c>
      <c r="Z10" s="2">
        <v>0.27277699243213849</v>
      </c>
      <c r="AA10" s="1">
        <v>3.8187700274273529E-3</v>
      </c>
      <c r="AB10" s="1">
        <v>-4.0133562883290161E-2</v>
      </c>
      <c r="AC10" s="1">
        <v>1.486242417838967E-2</v>
      </c>
      <c r="AD10" s="1">
        <v>-0.11610048058712839</v>
      </c>
      <c r="AE10" s="2">
        <v>0.37179575722208691</v>
      </c>
      <c r="AF10" s="2">
        <v>0.19745230080962831</v>
      </c>
      <c r="AG10" s="1">
        <v>0.1579641813585424</v>
      </c>
      <c r="AH10" s="1">
        <v>3.8592592804396787E-2</v>
      </c>
      <c r="AI10" s="1">
        <v>1.5252948201393619E-2</v>
      </c>
      <c r="AJ10" s="1">
        <v>4.2155209779405227E-2</v>
      </c>
      <c r="AK10" s="1">
        <v>1.8116680965950038E-2</v>
      </c>
      <c r="AL10" s="1">
        <v>2.7283675480561449E-2</v>
      </c>
      <c r="AM10" s="1">
        <v>9.661554590524439E-2</v>
      </c>
      <c r="AN10" s="1">
        <v>-7.786250723822807E-3</v>
      </c>
      <c r="AO10" s="1">
        <v>-9.7024245304849072E-2</v>
      </c>
      <c r="AP10" s="1">
        <v>4.6980538362617778E-2</v>
      </c>
      <c r="AQ10" s="1">
        <v>-3.4550777771456223E-2</v>
      </c>
      <c r="AR10" s="1">
        <v>7.0288869341376473E-2</v>
      </c>
      <c r="AS10" s="1">
        <v>-1.148455444117426E-2</v>
      </c>
      <c r="AT10" s="1">
        <v>0.1197754412667645</v>
      </c>
      <c r="AU10" s="1">
        <v>2.7725516618496881E-2</v>
      </c>
      <c r="AV10" s="1">
        <v>5.4370347281820067E-2</v>
      </c>
      <c r="AW10" s="2">
        <v>0.17040572065832271</v>
      </c>
      <c r="AX10" s="1">
        <v>-7.008506591773829E-2</v>
      </c>
      <c r="AY10" s="1">
        <v>2.4304791454083891E-2</v>
      </c>
      <c r="AZ10" s="2">
        <v>-0.1582517652586137</v>
      </c>
      <c r="BA10" s="2">
        <v>-0.17204640164441409</v>
      </c>
      <c r="BB10" s="1">
        <v>-5.7890191033609817E-2</v>
      </c>
      <c r="BC10" s="1">
        <v>-3.7402785294347728E-2</v>
      </c>
      <c r="BD10" s="1">
        <v>4.4565635226117707E-2</v>
      </c>
      <c r="BE10" s="1">
        <v>5.6354238262926369E-2</v>
      </c>
      <c r="BF10" s="1">
        <v>3.2769575819149389E-2</v>
      </c>
      <c r="BG10" s="1">
        <v>-8.7385313974898734E-3</v>
      </c>
      <c r="BH10" s="1">
        <v>3.7239702307380628E-3</v>
      </c>
      <c r="BI10" s="1">
        <v>-6.4017562815958662E-2</v>
      </c>
      <c r="BJ10" s="1">
        <v>4.9278942329162127E-2</v>
      </c>
      <c r="BK10" s="2">
        <v>-0.1854134415278702</v>
      </c>
      <c r="BL10" s="1">
        <v>5.090712006061502E-2</v>
      </c>
      <c r="BM10" s="1">
        <v>2.5222077880928329E-2</v>
      </c>
      <c r="BN10" s="1">
        <v>2.4972797644496308E-2</v>
      </c>
      <c r="BO10" s="1">
        <v>5.0856152689204501E-2</v>
      </c>
      <c r="BP10" s="2">
        <v>-0.21273119406231061</v>
      </c>
      <c r="BQ10" s="1">
        <v>-6.5147632481028894E-2</v>
      </c>
      <c r="BR10" s="1">
        <v>2.7203344633626569E-2</v>
      </c>
      <c r="BS10" s="1">
        <v>-7.7411134720396504E-3</v>
      </c>
      <c r="BT10" s="1">
        <v>8.6404734269774297E-2</v>
      </c>
      <c r="BU10" s="1">
        <v>-7.1673501740765228E-2</v>
      </c>
      <c r="BV10" s="1">
        <v>-2.9912276318130419E-2</v>
      </c>
      <c r="BW10" s="1">
        <v>3.8772822569813292E-2</v>
      </c>
      <c r="BX10" s="1">
        <v>-9.6714965041544909E-4</v>
      </c>
      <c r="BY10" s="1">
        <v>1.232453454658748E-2</v>
      </c>
      <c r="BZ10" s="1">
        <v>-2.77366837380634E-2</v>
      </c>
      <c r="CA10" s="1">
        <v>9.2047753958229422E-3</v>
      </c>
      <c r="CB10" s="1">
        <v>5.7936936038898669E-3</v>
      </c>
      <c r="CC10" s="1">
        <v>-4.1138082216332421E-5</v>
      </c>
      <c r="CD10" s="1">
        <v>-8.1649857022292438E-2</v>
      </c>
      <c r="CE10" s="1">
        <v>6.8723034943487513E-2</v>
      </c>
      <c r="CF10" s="1">
        <v>-1.6466556315312769E-2</v>
      </c>
      <c r="CG10" s="1">
        <v>7.4897078037921092E-3</v>
      </c>
      <c r="CH10" s="1">
        <v>0.1191471583278622</v>
      </c>
      <c r="CI10" s="1">
        <v>-0.1234186450515365</v>
      </c>
      <c r="CJ10" s="1">
        <v>0.14386116545388439</v>
      </c>
      <c r="CK10" s="1">
        <v>-4.476046701987027E-2</v>
      </c>
    </row>
    <row r="11" spans="1:89" x14ac:dyDescent="0.2">
      <c r="A11" s="10"/>
      <c r="B11" s="1" t="s">
        <v>14</v>
      </c>
      <c r="C11" s="1">
        <v>-1.253797726353985E-2</v>
      </c>
      <c r="D11" s="1">
        <v>-1.159147673032674E-2</v>
      </c>
      <c r="E11" s="1">
        <v>-5.8517474224110903E-2</v>
      </c>
      <c r="F11" s="1">
        <v>6.7869978158226402E-2</v>
      </c>
      <c r="G11" s="2">
        <v>-0.23816095303745979</v>
      </c>
      <c r="H11" s="2">
        <v>-0.24956048727710509</v>
      </c>
      <c r="I11" s="1">
        <v>2.3765496090088149E-2</v>
      </c>
      <c r="J11" s="1">
        <v>-0.14986741761154379</v>
      </c>
      <c r="K11" s="1">
        <v>9.0358294391949617E-2</v>
      </c>
      <c r="L11" s="1">
        <v>-0.12634397481362861</v>
      </c>
      <c r="M11" s="1">
        <v>0.17310467743032951</v>
      </c>
      <c r="N11" s="1">
        <v>7.3487994996248834E-2</v>
      </c>
      <c r="O11" s="1">
        <v>4.7613431348128468E-2</v>
      </c>
      <c r="P11" s="1">
        <v>-0.1188176619213909</v>
      </c>
      <c r="Q11" s="2">
        <v>-0.182217594443919</v>
      </c>
      <c r="R11" s="1">
        <v>-0.1623296552353076</v>
      </c>
      <c r="S11" s="1">
        <v>-9.3765573824268714E-2</v>
      </c>
      <c r="T11" s="1">
        <v>1.324426078920277E-2</v>
      </c>
      <c r="U11" s="1">
        <v>9.0358294391949867E-2</v>
      </c>
      <c r="V11" s="1">
        <v>-7.6623984349000418E-2</v>
      </c>
      <c r="W11" s="1">
        <v>-8.3364746972744624E-2</v>
      </c>
      <c r="X11" s="1">
        <v>2.3835297551440291E-2</v>
      </c>
      <c r="Y11" s="1">
        <v>5.0865355379435047E-2</v>
      </c>
      <c r="Z11" s="1">
        <v>-0.1153937075039484</v>
      </c>
      <c r="AA11" s="1">
        <v>0.129265478780029</v>
      </c>
      <c r="AB11" s="1">
        <v>-0.1015033265285306</v>
      </c>
      <c r="AC11" s="2">
        <v>-0.18453541674834681</v>
      </c>
      <c r="AD11" s="1">
        <v>-8.5037742973409144E-2</v>
      </c>
      <c r="AE11" s="2">
        <v>0.18631319627390641</v>
      </c>
      <c r="AF11" s="1">
        <v>-8.7333334401963943E-3</v>
      </c>
      <c r="AG11" s="1">
        <v>2.8054292440093571E-2</v>
      </c>
      <c r="AH11" s="1">
        <v>5.0404345006356141E-2</v>
      </c>
      <c r="AI11" s="1">
        <v>-1.4436282015979339E-2</v>
      </c>
      <c r="AJ11" s="1">
        <v>-8.0000927575630196E-3</v>
      </c>
      <c r="AK11" s="1">
        <v>-4.0661779120679573E-2</v>
      </c>
      <c r="AL11" s="2">
        <v>-0.2113774228338286</v>
      </c>
      <c r="AM11" s="1">
        <v>-6.6310972618298228E-2</v>
      </c>
      <c r="AN11" s="1">
        <v>-2.1758786349036451E-2</v>
      </c>
      <c r="AO11" s="1">
        <v>6.1701800105654618E-2</v>
      </c>
      <c r="AP11" s="1">
        <v>-4.7214633194454687E-2</v>
      </c>
      <c r="AQ11" s="1">
        <v>9.6849631847388359E-2</v>
      </c>
      <c r="AR11" s="1">
        <v>-0.1124409947569736</v>
      </c>
      <c r="AS11" s="1">
        <v>1.2149755125413331E-2</v>
      </c>
      <c r="AT11" s="1">
        <v>0.10960920796397761</v>
      </c>
      <c r="AU11" s="1">
        <v>-2.1327959605511579E-2</v>
      </c>
      <c r="AV11" s="1">
        <v>9.8327516600253864E-2</v>
      </c>
      <c r="AW11" s="1">
        <v>-7.8702568428653599E-2</v>
      </c>
      <c r="AX11" s="1">
        <v>-5.3829919362293123E-2</v>
      </c>
      <c r="AY11" s="1">
        <v>8.6696014402248313E-3</v>
      </c>
      <c r="AZ11" s="1">
        <v>-0.1180458976468272</v>
      </c>
      <c r="BA11" s="1">
        <v>-0.10401719914569731</v>
      </c>
      <c r="BB11" s="1">
        <v>-0.15939613347437501</v>
      </c>
      <c r="BC11" s="1">
        <v>-2.4607213949314751E-2</v>
      </c>
      <c r="BD11" s="2">
        <v>0.1837392681198721</v>
      </c>
      <c r="BE11" s="1">
        <v>0.1036093992414405</v>
      </c>
      <c r="BF11" s="1">
        <v>8.3076776042293382E-2</v>
      </c>
      <c r="BG11" s="1">
        <v>-4.046234451762714E-2</v>
      </c>
      <c r="BH11" s="1">
        <v>-3.5277325995519021E-3</v>
      </c>
      <c r="BI11" s="1">
        <v>8.5500829351073879E-2</v>
      </c>
      <c r="BJ11" s="1">
        <v>0.16219101437961719</v>
      </c>
      <c r="BK11" s="1">
        <v>-0.11666947003514321</v>
      </c>
      <c r="BL11" s="1">
        <v>1.1612436230600071E-2</v>
      </c>
      <c r="BM11" s="1">
        <v>4.3405508749277177E-2</v>
      </c>
      <c r="BN11" s="1">
        <v>6.5634702504252643E-2</v>
      </c>
      <c r="BO11" s="2">
        <v>0.2115227618140969</v>
      </c>
      <c r="BP11" s="1">
        <v>0.1036726322530714</v>
      </c>
      <c r="BQ11" s="1">
        <v>5.9314425819454328E-2</v>
      </c>
      <c r="BR11" s="1">
        <v>-5.7874208151910368E-4</v>
      </c>
      <c r="BS11" s="1">
        <v>1.1137289063071841E-3</v>
      </c>
      <c r="BT11" s="1">
        <v>-8.774628250621061E-2</v>
      </c>
      <c r="BU11" s="1">
        <v>7.0946585597596645E-2</v>
      </c>
      <c r="BV11" s="1">
        <v>-8.7539301020120325E-3</v>
      </c>
      <c r="BW11" s="1">
        <v>1.6941955895387509E-2</v>
      </c>
      <c r="BX11" s="1">
        <v>-2.3514370598126739E-2</v>
      </c>
      <c r="BY11" s="1">
        <v>1.4852429707231919E-2</v>
      </c>
      <c r="BZ11" s="1">
        <v>-7.2840212842841146E-2</v>
      </c>
      <c r="CA11" s="1">
        <v>6.1692834003890903E-2</v>
      </c>
      <c r="CB11" s="1">
        <v>-7.5436862714158864E-2</v>
      </c>
      <c r="CC11" s="1">
        <v>5.3392304501351427E-2</v>
      </c>
      <c r="CD11" s="2">
        <v>-0.28818846630420669</v>
      </c>
      <c r="CE11" s="2">
        <v>0.31182152116484152</v>
      </c>
      <c r="CF11" s="1">
        <v>1.015899561744932E-2</v>
      </c>
      <c r="CG11" s="1">
        <v>-6.4643213784375377E-3</v>
      </c>
      <c r="CH11" s="1">
        <v>-5.0780995652666437E-2</v>
      </c>
      <c r="CI11" s="1">
        <v>5.6217410764203828E-2</v>
      </c>
      <c r="CJ11" s="1">
        <v>-0.12519935277764321</v>
      </c>
      <c r="CK11" s="1">
        <v>2.546838680422597E-2</v>
      </c>
    </row>
    <row r="12" spans="1:89" x14ac:dyDescent="0.2">
      <c r="A12" s="10"/>
      <c r="B12" s="1" t="s">
        <v>15</v>
      </c>
      <c r="C12" s="1">
        <v>-0.1065258296645972</v>
      </c>
      <c r="D12" s="1">
        <v>-4.597963547527531E-2</v>
      </c>
      <c r="E12" s="1">
        <v>-2.6070787713795309E-2</v>
      </c>
      <c r="F12" s="2">
        <v>-0.20541337514786309</v>
      </c>
      <c r="G12" s="1">
        <v>3.7952507356486392E-2</v>
      </c>
      <c r="H12" s="2">
        <v>0.31661619478328618</v>
      </c>
      <c r="I12" s="1">
        <v>2.8170368945854202E-2</v>
      </c>
      <c r="J12" s="1">
        <v>2.9528852614814281E-2</v>
      </c>
      <c r="K12" s="1">
        <v>7.560988023643217E-2</v>
      </c>
      <c r="L12" s="1">
        <v>1.533228796695318E-3</v>
      </c>
      <c r="M12" s="2">
        <v>-0.26710238373983869</v>
      </c>
      <c r="N12" s="1">
        <v>-0.1049995412154956</v>
      </c>
      <c r="O12" s="1">
        <v>-6.2609536171818247E-2</v>
      </c>
      <c r="P12" s="1">
        <v>3.1748277057588041E-3</v>
      </c>
      <c r="Q12" s="1">
        <v>-3.7734684852687793E-2</v>
      </c>
      <c r="R12" s="1">
        <v>7.8676337829823195E-2</v>
      </c>
      <c r="S12" s="1">
        <v>-3.9802732115535061E-2</v>
      </c>
      <c r="T12" s="1">
        <v>2.6757428616793241E-2</v>
      </c>
      <c r="U12" s="1">
        <v>7.5609880236432211E-2</v>
      </c>
      <c r="V12" s="1">
        <v>-1.2185209901070779E-2</v>
      </c>
      <c r="W12" s="1">
        <v>-2.9105540119101211E-2</v>
      </c>
      <c r="X12" s="1">
        <v>4.639886002039522E-2</v>
      </c>
      <c r="Y12" s="1">
        <v>-8.7215958375941774E-2</v>
      </c>
      <c r="Z12" s="1">
        <v>-0.15810501113882611</v>
      </c>
      <c r="AA12" s="1">
        <v>6.5095441896208077E-4</v>
      </c>
      <c r="AB12" s="1">
        <v>0.16139978623258741</v>
      </c>
      <c r="AC12" s="1">
        <v>6.9674824838965643E-2</v>
      </c>
      <c r="AD12" s="1">
        <v>0.1113615892832104</v>
      </c>
      <c r="AE12" s="1">
        <v>-0.12633959030389921</v>
      </c>
      <c r="AF12" s="1">
        <v>-4.5282441500697997E-2</v>
      </c>
      <c r="AG12" s="1">
        <v>-5.0782015303435943E-2</v>
      </c>
      <c r="AH12" s="1">
        <v>-4.904905889561384E-2</v>
      </c>
      <c r="AI12" s="1">
        <v>6.1589873005014922E-2</v>
      </c>
      <c r="AJ12" s="1">
        <v>4.4176627748619933E-2</v>
      </c>
      <c r="AK12" s="1">
        <v>-3.9019851647202923E-4</v>
      </c>
      <c r="AL12" s="1">
        <v>-8.8456263132599647E-2</v>
      </c>
      <c r="AM12" s="1">
        <v>-8.400466507492535E-2</v>
      </c>
      <c r="AN12" s="1">
        <v>-7.9026476724101315E-3</v>
      </c>
      <c r="AO12" s="1">
        <v>8.1712902195109821E-2</v>
      </c>
      <c r="AP12" s="1">
        <v>5.0071678679526277E-2</v>
      </c>
      <c r="AQ12" s="2">
        <v>0.20248434613163779</v>
      </c>
      <c r="AR12" s="1">
        <v>-6.2268102330976273E-2</v>
      </c>
      <c r="AS12" s="1">
        <v>-5.9125087044307953E-3</v>
      </c>
      <c r="AT12" s="1">
        <v>-7.6104340959731342E-2</v>
      </c>
      <c r="AU12" s="1">
        <v>9.4782536661570715E-2</v>
      </c>
      <c r="AV12" s="1">
        <v>1.1677060153594109E-2</v>
      </c>
      <c r="AW12" s="1">
        <v>-7.0353454754926242E-2</v>
      </c>
      <c r="AX12" s="2">
        <v>0.18338736681475831</v>
      </c>
      <c r="AY12" s="1">
        <v>-7.2046159595238191E-2</v>
      </c>
      <c r="AZ12" s="1">
        <v>0.11198084189356131</v>
      </c>
      <c r="BA12" s="1">
        <v>4.8471894302861349E-2</v>
      </c>
      <c r="BB12" s="1">
        <v>8.8071952403015061E-2</v>
      </c>
      <c r="BC12" s="2">
        <v>0.16685773764413661</v>
      </c>
      <c r="BD12" s="2">
        <v>0.17151691221977711</v>
      </c>
      <c r="BE12" s="2">
        <v>0.2819424990579672</v>
      </c>
      <c r="BF12" s="1">
        <v>8.5784361105253851E-2</v>
      </c>
      <c r="BG12" s="1">
        <v>5.9354922967339192E-2</v>
      </c>
      <c r="BH12" s="1">
        <v>1.4393674136536951E-2</v>
      </c>
      <c r="BI12" s="1">
        <v>5.7816748670966811E-2</v>
      </c>
      <c r="BJ12" s="2">
        <v>0.225438924461938</v>
      </c>
      <c r="BK12" s="1">
        <v>-5.7181933584373131E-2</v>
      </c>
      <c r="BL12" s="1">
        <v>9.0725719805617416E-2</v>
      </c>
      <c r="BM12" s="1">
        <v>-9.4690796550567183E-2</v>
      </c>
      <c r="BN12" s="1">
        <v>-2.6606151727721711E-2</v>
      </c>
      <c r="BO12" s="2">
        <v>0.22808372185893361</v>
      </c>
      <c r="BP12" s="1">
        <v>3.5849697439279349E-2</v>
      </c>
      <c r="BQ12" s="1">
        <v>1.0673994984008331E-2</v>
      </c>
      <c r="BR12" s="1">
        <v>2.9534207540297629E-2</v>
      </c>
      <c r="BS12" s="1">
        <v>-2.0928778969954421E-2</v>
      </c>
      <c r="BT12" s="1">
        <v>0.13609122660538231</v>
      </c>
      <c r="BU12" s="1">
        <v>-0.1524519558555498</v>
      </c>
      <c r="BV12" s="1">
        <v>-4.0045843242999153E-2</v>
      </c>
      <c r="BW12" s="1">
        <v>3.1532055998191998E-2</v>
      </c>
      <c r="BX12" s="1">
        <v>9.7761356177718778E-2</v>
      </c>
      <c r="BY12" s="1">
        <v>-5.2016586635924567E-2</v>
      </c>
      <c r="BZ12" s="1">
        <v>-0.1104327087716454</v>
      </c>
      <c r="CA12" s="1">
        <v>8.0062078417801885E-2</v>
      </c>
      <c r="CB12" s="1">
        <v>-0.1644340273142732</v>
      </c>
      <c r="CC12" s="1">
        <v>0.14877918213094601</v>
      </c>
      <c r="CD12" s="1">
        <v>-7.2373239867469255E-2</v>
      </c>
      <c r="CE12" s="1">
        <v>7.6945591051221993E-2</v>
      </c>
      <c r="CF12" s="1">
        <v>0.14363499677426231</v>
      </c>
      <c r="CG12" s="1">
        <v>-0.1231121729685975</v>
      </c>
      <c r="CH12" s="1">
        <v>6.6100584620656502E-2</v>
      </c>
      <c r="CI12" s="1">
        <v>-3.7749918500794268E-2</v>
      </c>
      <c r="CJ12" s="1">
        <v>0.13765638106491859</v>
      </c>
      <c r="CK12" s="1">
        <v>-2.211207981345864E-2</v>
      </c>
    </row>
    <row r="14" spans="1:89" x14ac:dyDescent="0.2">
      <c r="A14" s="10" t="s">
        <v>8</v>
      </c>
      <c r="B14" s="1" t="s">
        <v>0</v>
      </c>
      <c r="C14" s="1">
        <v>-4.0200021092800707E-2</v>
      </c>
      <c r="D14" s="1">
        <v>-3.3344903574671507E-2</v>
      </c>
      <c r="E14" s="1">
        <v>-2.2767892527374101E-2</v>
      </c>
      <c r="F14" s="1">
        <v>-8.8407656904273491E-2</v>
      </c>
      <c r="G14" s="2">
        <v>-0.17315036900413211</v>
      </c>
      <c r="H14" s="1">
        <v>-0.10268687256341311</v>
      </c>
      <c r="I14" s="1">
        <v>-9.0440054161246911E-2</v>
      </c>
      <c r="J14" s="1">
        <v>-0.10373918712387301</v>
      </c>
      <c r="K14" s="2">
        <v>-0.2803261176636162</v>
      </c>
      <c r="L14" s="2">
        <v>0.14055605553723749</v>
      </c>
      <c r="M14" s="2">
        <v>-0.1644950986366833</v>
      </c>
      <c r="N14" s="1">
        <v>-4.4740034829181499E-2</v>
      </c>
      <c r="O14" s="1">
        <v>-7.6833329716718815E-2</v>
      </c>
      <c r="P14" s="1">
        <v>4.1704476250050811E-2</v>
      </c>
      <c r="Q14" s="2">
        <v>-0.28539250199219529</v>
      </c>
      <c r="R14" s="1">
        <v>7.859934108587611E-4</v>
      </c>
      <c r="S14" s="1">
        <v>-0.11291244254466019</v>
      </c>
      <c r="T14" s="1">
        <v>9.0531097836712385E-2</v>
      </c>
      <c r="U14" s="2">
        <v>-0.2803261176636162</v>
      </c>
      <c r="V14" s="1">
        <v>4.7998884599768449E-2</v>
      </c>
      <c r="W14" s="1">
        <v>-8.3473164475629191E-2</v>
      </c>
      <c r="X14" s="1">
        <v>0.12752361803967349</v>
      </c>
      <c r="Y14" s="1">
        <v>-1.519362128221882E-2</v>
      </c>
      <c r="Z14" s="2">
        <v>0.51544589990597034</v>
      </c>
      <c r="AA14" s="2">
        <v>0.38746109027946068</v>
      </c>
      <c r="AB14" s="1">
        <v>-4.0477269274874772E-2</v>
      </c>
      <c r="AC14" s="1">
        <v>-8.8001246909383851E-2</v>
      </c>
      <c r="AD14" s="1">
        <v>5.9658851930328931E-2</v>
      </c>
      <c r="AE14" s="1">
        <v>-0.1038351214262081</v>
      </c>
      <c r="AF14" s="1">
        <v>-5.4499456998105822E-2</v>
      </c>
      <c r="AG14" s="1">
        <v>-4.9628485201039123E-2</v>
      </c>
      <c r="AH14" s="1">
        <v>-1.310409404563774E-2</v>
      </c>
      <c r="AI14" s="1">
        <v>5.8622539315669991E-2</v>
      </c>
      <c r="AJ14" s="1">
        <v>7.4633163182063353E-2</v>
      </c>
      <c r="AK14" s="1">
        <v>4.0081245309579877E-3</v>
      </c>
      <c r="AL14" s="1">
        <v>-3.013435522311779E-2</v>
      </c>
      <c r="AM14" s="1">
        <v>-6.0665772917252577E-3</v>
      </c>
      <c r="AN14" s="1">
        <v>3.9392868843175451E-2</v>
      </c>
      <c r="AO14" s="1">
        <v>1.311099613155875E-2</v>
      </c>
      <c r="AP14" s="1">
        <v>6.5769859716974299E-2</v>
      </c>
      <c r="AQ14" s="1">
        <v>0.10953857522320599</v>
      </c>
      <c r="AR14" s="1">
        <v>-4.2688380660396343E-3</v>
      </c>
      <c r="AS14" s="1">
        <v>5.83650443839096E-3</v>
      </c>
      <c r="AT14" s="1">
        <v>-0.10722923216917481</v>
      </c>
      <c r="AU14" s="1">
        <v>9.6732923191815944E-3</v>
      </c>
      <c r="AV14" s="2">
        <v>0.1436327631422934</v>
      </c>
      <c r="AW14" s="1">
        <v>5.3873781724458599E-4</v>
      </c>
      <c r="AX14" s="1">
        <v>1.6706640918635361E-2</v>
      </c>
      <c r="AY14" s="1">
        <v>3.0818158122725269E-2</v>
      </c>
      <c r="AZ14" s="1">
        <v>8.659051891943241E-2</v>
      </c>
      <c r="BA14" s="1">
        <v>-3.8286039915175027E-2</v>
      </c>
      <c r="BB14" s="1">
        <v>-9.0328870812615036E-2</v>
      </c>
      <c r="BC14" s="1">
        <v>-4.9260413172021247E-2</v>
      </c>
      <c r="BD14" s="1">
        <v>-2.5208843330562881E-2</v>
      </c>
      <c r="BE14" s="1">
        <v>-1.9945454076086111E-2</v>
      </c>
      <c r="BF14" s="1">
        <v>-1.612672771612883E-2</v>
      </c>
      <c r="BG14" s="1">
        <v>-1.6191737017223571E-3</v>
      </c>
      <c r="BH14" s="1">
        <v>5.9469030303650966E-3</v>
      </c>
      <c r="BI14" s="1">
        <v>-5.8127659270914048E-4</v>
      </c>
      <c r="BJ14" s="1">
        <v>-2.2147521804059898E-2</v>
      </c>
      <c r="BK14" s="1">
        <v>0.1051492976228393</v>
      </c>
      <c r="BL14" s="2">
        <v>0.13406457115360981</v>
      </c>
      <c r="BM14" s="1">
        <v>-0.1222805842069478</v>
      </c>
      <c r="BN14" s="1">
        <v>-4.7433678412367751E-2</v>
      </c>
      <c r="BO14" s="1">
        <v>4.2068950248680632E-2</v>
      </c>
      <c r="BP14" s="1">
        <v>-1.4844038311841549E-3</v>
      </c>
      <c r="BQ14" s="1">
        <v>1.705555025861432E-2</v>
      </c>
      <c r="BR14" s="1">
        <v>4.4909113763630097E-2</v>
      </c>
      <c r="BS14" s="1">
        <v>-1.8776971308673038E-2</v>
      </c>
      <c r="BT14" s="1">
        <v>2.9038584621400309E-2</v>
      </c>
      <c r="BU14" s="1">
        <v>-2.5852196853774261E-2</v>
      </c>
      <c r="BV14" s="1">
        <v>1.873478210756567E-2</v>
      </c>
      <c r="BW14" s="1">
        <v>-2.1366062220947338E-2</v>
      </c>
      <c r="BX14" s="1">
        <v>2.3413505787315079E-2</v>
      </c>
      <c r="BY14" s="1">
        <v>-1.2843381264615671E-2</v>
      </c>
      <c r="BZ14" s="1">
        <v>2.6080650312438652E-2</v>
      </c>
      <c r="CA14" s="1">
        <v>-1.9776749544552469E-2</v>
      </c>
      <c r="CB14" s="1">
        <v>4.5824306730629948E-2</v>
      </c>
      <c r="CC14" s="1">
        <v>-3.3907664948808217E-2</v>
      </c>
      <c r="CD14" s="1">
        <v>1.6499284206065772E-2</v>
      </c>
      <c r="CE14" s="1">
        <v>-5.1681800026986526E-3</v>
      </c>
      <c r="CF14" s="1">
        <v>8.6991692733040422E-3</v>
      </c>
      <c r="CG14" s="1">
        <v>4.3145714471859572E-3</v>
      </c>
      <c r="CH14" s="1">
        <v>7.2592175185398336E-3</v>
      </c>
      <c r="CI14" s="1">
        <v>4.2604351929346048E-3</v>
      </c>
      <c r="CJ14" s="1">
        <v>3.2800275975416092E-2</v>
      </c>
      <c r="CK14" s="1">
        <v>-9.9754206688408408E-3</v>
      </c>
    </row>
    <row r="15" spans="1:89" x14ac:dyDescent="0.2">
      <c r="A15" s="10"/>
      <c r="B15" s="1" t="s">
        <v>1</v>
      </c>
      <c r="C15" s="1">
        <v>-8.4940933199852964E-2</v>
      </c>
      <c r="D15" s="1">
        <v>0.1018471710509377</v>
      </c>
      <c r="E15" s="1">
        <v>8.3295683803165557E-2</v>
      </c>
      <c r="F15" s="1">
        <v>-4.2436834848235572E-2</v>
      </c>
      <c r="G15" s="1">
        <v>-0.1073893839922567</v>
      </c>
      <c r="H15" s="2">
        <v>-0.32171021641840603</v>
      </c>
      <c r="I15" s="2">
        <v>0.33018789121434722</v>
      </c>
      <c r="J15" s="2">
        <v>0.30512398177133532</v>
      </c>
      <c r="K15" s="1">
        <v>1.613285376179651E-2</v>
      </c>
      <c r="L15" s="1">
        <v>-7.2684989198729399E-2</v>
      </c>
      <c r="M15" s="1">
        <v>-0.14870638635831199</v>
      </c>
      <c r="N15" s="1">
        <v>-0.13426619480281049</v>
      </c>
      <c r="O15" s="1">
        <v>8.4411370426889828E-2</v>
      </c>
      <c r="P15" s="1">
        <v>-0.13379191161606621</v>
      </c>
      <c r="Q15" s="1">
        <v>1.416275649284831E-3</v>
      </c>
      <c r="R15" s="1">
        <v>-0.1292371246356625</v>
      </c>
      <c r="S15" s="2">
        <v>-0.22220067149691311</v>
      </c>
      <c r="T15" s="1">
        <v>5.0244446292136223E-2</v>
      </c>
      <c r="U15" s="1">
        <v>1.6132853761796451E-2</v>
      </c>
      <c r="V15" s="1">
        <v>-8.6179206991334231E-2</v>
      </c>
      <c r="W15" s="1">
        <v>-0.13052455324769779</v>
      </c>
      <c r="X15" s="1">
        <v>1.5951284021018228E-2</v>
      </c>
      <c r="Y15" s="1">
        <v>-4.1947592297665363E-2</v>
      </c>
      <c r="Z15" s="1">
        <v>-3.1782989004050848E-2</v>
      </c>
      <c r="AA15" s="1">
        <v>-2.4474358350680629E-2</v>
      </c>
      <c r="AB15" s="2">
        <v>0.25182557095648039</v>
      </c>
      <c r="AC15" s="1">
        <v>0.12967156458829601</v>
      </c>
      <c r="AD15" s="2">
        <v>0.20103572481684009</v>
      </c>
      <c r="AE15" s="2">
        <v>0.17922739827315379</v>
      </c>
      <c r="AF15" s="1">
        <v>0.13931445453337979</v>
      </c>
      <c r="AG15" s="1">
        <v>0.13734613754412309</v>
      </c>
      <c r="AH15" s="1">
        <v>5.4395585998910853E-2</v>
      </c>
      <c r="AI15" s="2">
        <v>-0.20577427641368989</v>
      </c>
      <c r="AJ15" s="2">
        <v>-0.17456653585543019</v>
      </c>
      <c r="AK15" s="1">
        <v>1.401441412302726E-2</v>
      </c>
      <c r="AL15" s="1">
        <v>3.966831708386407E-2</v>
      </c>
      <c r="AM15" s="1">
        <v>8.5269327569348088E-2</v>
      </c>
      <c r="AN15" s="1">
        <v>2.9121697574202871E-3</v>
      </c>
      <c r="AO15" s="1">
        <v>-8.3864870885593426E-2</v>
      </c>
      <c r="AP15" s="1">
        <v>0.16407220975195369</v>
      </c>
      <c r="AQ15" s="1">
        <v>4.5651813154616028E-2</v>
      </c>
      <c r="AR15" s="1">
        <v>6.8226215725564462E-2</v>
      </c>
      <c r="AS15" s="1">
        <v>1.9787286566987782E-3</v>
      </c>
      <c r="AT15" s="1">
        <v>-8.6555015284134465E-2</v>
      </c>
      <c r="AU15" s="1">
        <v>-0.17050148016528879</v>
      </c>
      <c r="AV15" s="1">
        <v>-2.4903413191822051E-2</v>
      </c>
      <c r="AW15" s="1">
        <v>1.8945613821419519E-2</v>
      </c>
      <c r="AX15" s="1">
        <v>4.7772487573231423E-2</v>
      </c>
      <c r="AY15" s="2">
        <v>0.22350765255514249</v>
      </c>
      <c r="AZ15" s="1">
        <v>0.12921560505518129</v>
      </c>
      <c r="BA15" s="1">
        <v>0.1566135826142612</v>
      </c>
      <c r="BB15" s="1">
        <v>3.3197511227017813E-2</v>
      </c>
      <c r="BC15" s="1">
        <v>-7.6231096088375042E-2</v>
      </c>
      <c r="BD15" s="1">
        <v>2.0401402152747342E-2</v>
      </c>
      <c r="BE15" s="1">
        <v>-4.8795340613224783E-2</v>
      </c>
      <c r="BF15" s="1">
        <v>-1.3490864763575619E-2</v>
      </c>
      <c r="BG15" s="1">
        <v>-1.3314343720228369E-2</v>
      </c>
      <c r="BH15" s="1">
        <v>-7.7136100575805706E-3</v>
      </c>
      <c r="BI15" s="1">
        <v>-1.027274773427677E-2</v>
      </c>
      <c r="BJ15" s="1">
        <v>-2.9269637487180249E-2</v>
      </c>
      <c r="BK15" s="1">
        <v>7.0372244262880843E-2</v>
      </c>
      <c r="BL15" s="1">
        <v>6.772523211680069E-2</v>
      </c>
      <c r="BM15" s="1">
        <v>-9.9385992399658618E-2</v>
      </c>
      <c r="BN15" s="1">
        <v>-2.582796541759786E-2</v>
      </c>
      <c r="BO15" s="1">
        <v>3.4779141292637789E-2</v>
      </c>
      <c r="BP15" s="1">
        <v>-2.5899414423164829E-2</v>
      </c>
      <c r="BQ15" s="1">
        <v>-2.787889341786259E-2</v>
      </c>
      <c r="BR15" s="1">
        <v>5.0486520404519161E-2</v>
      </c>
      <c r="BS15" s="1">
        <v>-1.6387840235134388E-2</v>
      </c>
      <c r="BT15" s="1">
        <v>1.380782857418706E-2</v>
      </c>
      <c r="BU15" s="1">
        <v>9.0149138288775615E-3</v>
      </c>
      <c r="BV15" s="1">
        <v>2.2478499234861931E-2</v>
      </c>
      <c r="BW15" s="1">
        <v>-1.2552615780671159E-2</v>
      </c>
      <c r="BX15" s="1">
        <v>1.2392386926629719E-2</v>
      </c>
      <c r="BY15" s="1">
        <v>6.0429518092163671E-3</v>
      </c>
      <c r="BZ15" s="1">
        <v>-8.5825580232337228E-3</v>
      </c>
      <c r="CA15" s="1">
        <v>7.5604398801906456E-3</v>
      </c>
      <c r="CB15" s="1">
        <v>-1.6581151480283531E-2</v>
      </c>
      <c r="CC15" s="1">
        <v>1.7927282627569111E-2</v>
      </c>
      <c r="CD15" s="1">
        <v>-5.4925481355908952E-3</v>
      </c>
      <c r="CE15" s="1">
        <v>9.1956985068411545E-3</v>
      </c>
      <c r="CF15" s="1">
        <v>-1.221741034810171E-2</v>
      </c>
      <c r="CG15" s="1">
        <v>1.382583195010967E-2</v>
      </c>
      <c r="CH15" s="1">
        <v>3.4695556734736177E-2</v>
      </c>
      <c r="CI15" s="1">
        <v>-3.3654022577769629E-2</v>
      </c>
      <c r="CJ15" s="1">
        <v>5.7916794245565194E-4</v>
      </c>
      <c r="CK15" s="1">
        <v>6.2468028466688126E-5</v>
      </c>
    </row>
    <row r="16" spans="1:89" x14ac:dyDescent="0.2">
      <c r="A16" s="10"/>
      <c r="B16" s="1" t="s">
        <v>2</v>
      </c>
      <c r="C16" s="1">
        <v>-2.8272287026681071E-2</v>
      </c>
      <c r="D16" s="1">
        <v>-2.0933118451374878E-3</v>
      </c>
      <c r="E16" s="1">
        <v>-1.4814364550016191E-3</v>
      </c>
      <c r="F16" s="2">
        <v>0.21488403828870961</v>
      </c>
      <c r="G16" s="1">
        <v>-7.2974886085576229E-2</v>
      </c>
      <c r="H16" s="1">
        <v>-3.7457732195159128E-3</v>
      </c>
      <c r="I16" s="2">
        <v>0.22324381570037269</v>
      </c>
      <c r="J16" s="2">
        <v>0.19995324034355469</v>
      </c>
      <c r="K16" s="1">
        <v>-1.5750900112914131E-2</v>
      </c>
      <c r="L16" s="1">
        <v>5.3715600593448043E-2</v>
      </c>
      <c r="M16" s="2">
        <v>0.43268130606188659</v>
      </c>
      <c r="N16" s="2">
        <v>0.29327332227853342</v>
      </c>
      <c r="O16" s="2">
        <v>-0.18195982469544719</v>
      </c>
      <c r="P16" s="1">
        <v>0.13250928221129241</v>
      </c>
      <c r="Q16" s="1">
        <v>2.4470006113609211E-2</v>
      </c>
      <c r="R16" s="1">
        <v>9.1680301073981424E-2</v>
      </c>
      <c r="S16" s="1">
        <v>-8.4344381988774239E-2</v>
      </c>
      <c r="T16" s="1">
        <v>0.13738583666339141</v>
      </c>
      <c r="U16" s="1">
        <v>-1.575090011291428E-2</v>
      </c>
      <c r="V16" s="1">
        <v>-4.7874179096745503E-2</v>
      </c>
      <c r="W16" s="1">
        <v>-6.3284588380517176E-2</v>
      </c>
      <c r="X16" s="1">
        <v>7.6004734713246994E-2</v>
      </c>
      <c r="Y16" s="1">
        <v>4.6907215292158307E-2</v>
      </c>
      <c r="Z16" s="1">
        <v>-6.0402811124922413E-2</v>
      </c>
      <c r="AA16" s="1">
        <v>-4.5120062217086573E-2</v>
      </c>
      <c r="AB16" s="1">
        <v>0.14773777339141411</v>
      </c>
      <c r="AC16" s="1">
        <v>1.147139109778658E-2</v>
      </c>
      <c r="AD16" s="1">
        <v>0.12712631717942829</v>
      </c>
      <c r="AE16" s="1">
        <v>8.099646669202322E-2</v>
      </c>
      <c r="AF16" s="1">
        <v>1.43767897979824E-2</v>
      </c>
      <c r="AG16" s="1">
        <v>8.3345158011553941E-2</v>
      </c>
      <c r="AH16" s="1">
        <v>-3.1916174715424302E-2</v>
      </c>
      <c r="AI16" s="2">
        <v>0.36910972266195963</v>
      </c>
      <c r="AJ16" s="2">
        <v>0.26070604735818931</v>
      </c>
      <c r="AK16" s="1">
        <v>-2.6439900047421541E-2</v>
      </c>
      <c r="AL16" s="1">
        <v>-5.8085384419018421E-2</v>
      </c>
      <c r="AM16" s="1">
        <v>-4.4151304334499611E-2</v>
      </c>
      <c r="AN16" s="1">
        <v>6.1340613442836048E-2</v>
      </c>
      <c r="AO16" s="1">
        <v>5.4762741766614401E-2</v>
      </c>
      <c r="AP16" s="1">
        <v>5.1640020563369887E-2</v>
      </c>
      <c r="AQ16" s="2">
        <v>0.18760331652140169</v>
      </c>
      <c r="AR16" s="1">
        <v>-6.6677447599594555E-2</v>
      </c>
      <c r="AS16" s="1">
        <v>2.671619624462026E-3</v>
      </c>
      <c r="AT16" s="1">
        <v>-6.9797479544794927E-2</v>
      </c>
      <c r="AU16" s="1">
        <v>0.1265995878673595</v>
      </c>
      <c r="AV16" s="2">
        <v>0.19746109846132939</v>
      </c>
      <c r="AW16" s="1">
        <v>5.9764920493938493E-2</v>
      </c>
      <c r="AX16" s="1">
        <v>0.118446283117615</v>
      </c>
      <c r="AY16" s="1">
        <v>-3.9465855680395491E-2</v>
      </c>
      <c r="AZ16" s="1">
        <v>-1.457945507551725E-2</v>
      </c>
      <c r="BA16" s="1">
        <v>5.211646819451031E-2</v>
      </c>
      <c r="BB16" s="1">
        <v>0.11345619877547</v>
      </c>
      <c r="BC16" s="1">
        <v>7.2295788054814902E-2</v>
      </c>
      <c r="BD16" s="1">
        <v>-1.6526186653821211E-2</v>
      </c>
      <c r="BE16" s="1">
        <v>-2.5242137287225391E-2</v>
      </c>
      <c r="BF16" s="1">
        <v>-6.3982809435034538E-2</v>
      </c>
      <c r="BG16" s="1">
        <v>-3.6654307408848188E-2</v>
      </c>
      <c r="BH16" s="1">
        <v>-4.2995795518074767E-2</v>
      </c>
      <c r="BI16" s="1">
        <v>-2.2741924336738741E-2</v>
      </c>
      <c r="BJ16" s="1">
        <v>-6.2726486964709338E-2</v>
      </c>
      <c r="BK16" s="1">
        <v>9.8327332953655078E-3</v>
      </c>
      <c r="BL16" s="1">
        <v>0.1286953255778791</v>
      </c>
      <c r="BM16" s="1">
        <v>-5.964612841235651E-2</v>
      </c>
      <c r="BN16" s="1">
        <v>-8.5262883156046423E-2</v>
      </c>
      <c r="BO16" s="1">
        <v>-6.4166628490649982E-2</v>
      </c>
      <c r="BP16" s="1">
        <v>-5.3974794168660127E-2</v>
      </c>
      <c r="BQ16" s="1">
        <v>-2.5247707604631249E-2</v>
      </c>
      <c r="BR16" s="1">
        <v>1.805795527699975E-2</v>
      </c>
      <c r="BS16" s="1">
        <v>-1.8723911678324798E-2</v>
      </c>
      <c r="BT16" s="1">
        <v>7.5927118645691856E-3</v>
      </c>
      <c r="BU16" s="1">
        <v>-4.0909204689188329E-2</v>
      </c>
      <c r="BV16" s="1">
        <v>4.7282963639184203E-2</v>
      </c>
      <c r="BW16" s="1">
        <v>-7.1728793658636103E-2</v>
      </c>
      <c r="BX16" s="1">
        <v>3.1676121126085838E-2</v>
      </c>
      <c r="BY16" s="1">
        <v>-2.5261719947910159E-2</v>
      </c>
      <c r="BZ16" s="1">
        <v>9.2753735696072485E-3</v>
      </c>
      <c r="CA16" s="1">
        <v>-2.9487772724087841E-2</v>
      </c>
      <c r="CB16" s="1">
        <v>-6.4193666730587564E-3</v>
      </c>
      <c r="CC16" s="1">
        <v>-7.1247987246214391E-3</v>
      </c>
      <c r="CD16" s="1">
        <v>1.9379556050463501E-2</v>
      </c>
      <c r="CE16" s="1">
        <v>-2.7944033972159488E-2</v>
      </c>
      <c r="CF16" s="1">
        <v>-1.286334861485774E-2</v>
      </c>
      <c r="CG16" s="1">
        <v>1.099357072707878E-2</v>
      </c>
      <c r="CH16" s="1">
        <v>-3.9551301960437393E-2</v>
      </c>
      <c r="CI16" s="1">
        <v>4.0972948291802796E-3</v>
      </c>
      <c r="CJ16" s="1">
        <v>5.039425404715657E-3</v>
      </c>
      <c r="CK16" s="1">
        <v>-8.4569248983468147E-3</v>
      </c>
    </row>
    <row r="17" spans="1:89" x14ac:dyDescent="0.2">
      <c r="A17" s="10"/>
      <c r="B17" s="1" t="s">
        <v>3</v>
      </c>
      <c r="C17" s="1">
        <v>-0.15208456389516639</v>
      </c>
      <c r="D17" s="1">
        <v>6.8193020026527662E-2</v>
      </c>
      <c r="E17" s="1">
        <v>6.4610867135033473E-2</v>
      </c>
      <c r="F17" s="2">
        <v>0.18442542906497289</v>
      </c>
      <c r="G17" s="1">
        <v>-0.10839782842171761</v>
      </c>
      <c r="H17" s="1">
        <v>0.13715423327069701</v>
      </c>
      <c r="I17" s="1">
        <v>-5.9100987759060142E-2</v>
      </c>
      <c r="J17" s="1">
        <v>-9.1419111698750333E-3</v>
      </c>
      <c r="K17" s="1">
        <v>6.6681831776076145E-2</v>
      </c>
      <c r="L17" s="1">
        <v>-2.5869980118263549E-2</v>
      </c>
      <c r="M17" s="1">
        <v>-6.0912713655812689E-2</v>
      </c>
      <c r="N17" s="1">
        <v>0.1483940666056992</v>
      </c>
      <c r="O17" s="1">
        <v>4.4355995325760643E-2</v>
      </c>
      <c r="P17" s="1">
        <v>-1.1643445037847269E-2</v>
      </c>
      <c r="Q17" s="1">
        <v>4.3963530693607818E-2</v>
      </c>
      <c r="R17" s="1">
        <v>1.4941871539548981E-2</v>
      </c>
      <c r="S17" s="1">
        <v>-8.2959510683930801E-2</v>
      </c>
      <c r="T17" s="1">
        <v>0.11821259893352121</v>
      </c>
      <c r="U17" s="1">
        <v>6.6681831776076159E-2</v>
      </c>
      <c r="V17" s="1">
        <v>9.7117593202935906E-2</v>
      </c>
      <c r="W17" s="1">
        <v>5.2073848028039812E-2</v>
      </c>
      <c r="X17" s="1">
        <v>0.1160827023146532</v>
      </c>
      <c r="Y17" s="1">
        <v>-4.0962958020881483E-3</v>
      </c>
      <c r="Z17" s="1">
        <v>-0.14625601274263331</v>
      </c>
      <c r="AA17" s="1">
        <v>-5.9697641978168799E-2</v>
      </c>
      <c r="AB17" s="1">
        <v>-8.5012589595067911E-2</v>
      </c>
      <c r="AC17" s="1">
        <v>-0.1200331885280201</v>
      </c>
      <c r="AD17" s="1">
        <v>4.7023977984596652E-3</v>
      </c>
      <c r="AE17" s="1">
        <v>0.1016753004195933</v>
      </c>
      <c r="AF17" s="1">
        <v>-3.2579668393013107E-2</v>
      </c>
      <c r="AG17" s="1">
        <v>7.824952037103669E-2</v>
      </c>
      <c r="AH17" s="1">
        <v>-1.8616704775154751E-2</v>
      </c>
      <c r="AI17" s="1">
        <v>-0.15281610334578949</v>
      </c>
      <c r="AJ17" s="1">
        <v>-6.5143604350970698E-3</v>
      </c>
      <c r="AK17" s="1">
        <v>2.0894707427816119E-4</v>
      </c>
      <c r="AL17" s="1">
        <v>-4.7695782839095938E-2</v>
      </c>
      <c r="AM17" s="1">
        <v>7.476102269748275E-3</v>
      </c>
      <c r="AN17" s="1">
        <v>-3.5271258286702551E-3</v>
      </c>
      <c r="AO17" s="1">
        <v>-8.0353661845110058E-3</v>
      </c>
      <c r="AP17" s="1">
        <v>7.3637418594441437E-2</v>
      </c>
      <c r="AQ17" s="1">
        <v>0.1459186538698691</v>
      </c>
      <c r="AR17" s="1">
        <v>2.5089633482118E-3</v>
      </c>
      <c r="AS17" s="1">
        <v>2.7378042758820528E-3</v>
      </c>
      <c r="AT17" s="1">
        <v>-3.1088303051678111E-2</v>
      </c>
      <c r="AU17" s="1">
        <v>-4.9196886306088119E-3</v>
      </c>
      <c r="AV17" s="1">
        <v>9.1543536850471466E-2</v>
      </c>
      <c r="AW17" s="2">
        <v>-0.26560601686193919</v>
      </c>
      <c r="AX17" s="2">
        <v>-0.17513736973264191</v>
      </c>
      <c r="AY17" s="1">
        <v>8.1293705226825622E-2</v>
      </c>
      <c r="AZ17" s="1">
        <v>-1.6119411995501931E-2</v>
      </c>
      <c r="BA17" s="2">
        <v>-0.18128365658003701</v>
      </c>
      <c r="BB17" s="2">
        <v>-0.18646217402261281</v>
      </c>
      <c r="BC17" s="2">
        <v>-0.20180882104017919</v>
      </c>
      <c r="BD17" s="1">
        <v>-6.0621205542455432E-2</v>
      </c>
      <c r="BE17" s="1">
        <v>-9.4476101003886492E-3</v>
      </c>
      <c r="BF17" s="1">
        <v>-2.4360120308592258E-2</v>
      </c>
      <c r="BG17" s="1">
        <v>4.2631447227326418E-2</v>
      </c>
      <c r="BH17" s="1">
        <v>1.4739540428365989E-2</v>
      </c>
      <c r="BI17" s="1">
        <v>8.0920603220525494E-2</v>
      </c>
      <c r="BJ17" s="1">
        <v>-5.6929931240744282E-2</v>
      </c>
      <c r="BK17" s="1">
        <v>-9.071155933636792E-3</v>
      </c>
      <c r="BL17" s="1">
        <v>-1.5807282715336369E-2</v>
      </c>
      <c r="BM17" s="1">
        <v>-2.316518066282992E-2</v>
      </c>
      <c r="BN17" s="1">
        <v>-3.2474422841697582E-2</v>
      </c>
      <c r="BO17" s="1">
        <v>3.3431095528624312E-2</v>
      </c>
      <c r="BP17" s="2">
        <v>0.30314584445961451</v>
      </c>
      <c r="BQ17" s="1">
        <v>0.1309099321679407</v>
      </c>
      <c r="BR17" s="1">
        <v>0.12405911939563891</v>
      </c>
      <c r="BS17" s="1">
        <v>-6.9503393757756632E-2</v>
      </c>
      <c r="BT17" s="1">
        <v>0.1407198569667901</v>
      </c>
      <c r="BU17" s="1">
        <v>-0.1418562313036415</v>
      </c>
      <c r="BV17" s="1">
        <v>0.1015041021508387</v>
      </c>
      <c r="BW17" s="1">
        <v>-7.1560218121199559E-2</v>
      </c>
      <c r="BX17" s="1">
        <v>0.12639743664733291</v>
      </c>
      <c r="BY17" s="1">
        <v>-4.4496983579155283E-2</v>
      </c>
      <c r="BZ17" s="1">
        <v>0.14875210049517429</v>
      </c>
      <c r="CA17" s="1">
        <v>-7.5815934314661784E-2</v>
      </c>
      <c r="CB17" s="2">
        <v>0.169183398928342</v>
      </c>
      <c r="CC17" s="1">
        <v>-0.1003160761871467</v>
      </c>
      <c r="CD17" s="2">
        <v>0.23382886064040809</v>
      </c>
      <c r="CE17" s="1">
        <v>-0.15430755843570709</v>
      </c>
      <c r="CF17" s="2">
        <v>0.166014172956825</v>
      </c>
      <c r="CG17" s="1">
        <v>-0.1061493077658065</v>
      </c>
      <c r="CH17" s="1">
        <v>0.16457738359129581</v>
      </c>
      <c r="CI17" s="1">
        <v>-0.11573015912886279</v>
      </c>
      <c r="CJ17" s="1">
        <v>0.1535443360351253</v>
      </c>
      <c r="CK17" s="1">
        <v>-3.6116983226048713E-2</v>
      </c>
    </row>
    <row r="18" spans="1:89" x14ac:dyDescent="0.2">
      <c r="A18" s="10"/>
      <c r="B18" s="1" t="s">
        <v>4</v>
      </c>
      <c r="C18" s="2">
        <v>0.28871619389249442</v>
      </c>
      <c r="D18" s="1">
        <v>-7.1711454795410301E-2</v>
      </c>
      <c r="E18" s="1">
        <v>-4.5993877083768619E-2</v>
      </c>
      <c r="F18" s="1">
        <v>-0.11518087994793</v>
      </c>
      <c r="G18" s="1">
        <v>7.183709420911899E-2</v>
      </c>
      <c r="H18" s="1">
        <v>-8.5821054916604023E-2</v>
      </c>
      <c r="I18" s="2">
        <v>0.15810224499683259</v>
      </c>
      <c r="J18" s="2">
        <v>0.13838306260279989</v>
      </c>
      <c r="K18" s="1">
        <v>-9.3003363030345038E-2</v>
      </c>
      <c r="L18" s="1">
        <v>8.1750717894152447E-2</v>
      </c>
      <c r="M18" s="1">
        <v>5.0369169415043068E-2</v>
      </c>
      <c r="N18" s="1">
        <v>-9.4445485371825233E-2</v>
      </c>
      <c r="O18" s="1">
        <v>-8.7435721566361535E-3</v>
      </c>
      <c r="P18" s="1">
        <v>3.9989614277952772E-2</v>
      </c>
      <c r="Q18" s="1">
        <v>3.8983622508381777E-2</v>
      </c>
      <c r="R18" s="1">
        <v>7.0498072757959787E-2</v>
      </c>
      <c r="S18" s="1">
        <v>0.1106488270113508</v>
      </c>
      <c r="T18" s="1">
        <v>-1.389505298401314E-2</v>
      </c>
      <c r="U18" s="1">
        <v>-9.3003363030344996E-2</v>
      </c>
      <c r="V18" s="2">
        <v>-0.27995150011949071</v>
      </c>
      <c r="W18" s="1">
        <v>-8.0390603508281921E-2</v>
      </c>
      <c r="X18" s="1">
        <v>-0.1056230915925773</v>
      </c>
      <c r="Y18" s="1">
        <v>5.9239622198310408E-2</v>
      </c>
      <c r="Z18" s="2">
        <v>0.22566031562874381</v>
      </c>
      <c r="AA18" s="1">
        <v>4.7768502371066078E-3</v>
      </c>
      <c r="AB18" s="1">
        <v>2.0590479203551199E-2</v>
      </c>
      <c r="AC18" s="1">
        <v>5.541288000345234E-2</v>
      </c>
      <c r="AD18" s="1">
        <v>1.5770242232422599E-2</v>
      </c>
      <c r="AE18" s="1">
        <v>8.7843749864147683E-2</v>
      </c>
      <c r="AF18" s="1">
        <v>7.1254283369015972E-2</v>
      </c>
      <c r="AG18" s="1">
        <v>5.7123262919268718E-2</v>
      </c>
      <c r="AH18" s="1">
        <v>-8.6857192474829106E-3</v>
      </c>
      <c r="AI18" s="1">
        <v>4.7752593232559079E-2</v>
      </c>
      <c r="AJ18" s="1">
        <v>-1.9394300806095711E-2</v>
      </c>
      <c r="AK18" s="1">
        <v>-3.5362389736859387E-2</v>
      </c>
      <c r="AL18" s="1">
        <v>1.0193822439101779E-2</v>
      </c>
      <c r="AM18" s="1">
        <v>-3.488675482702458E-2</v>
      </c>
      <c r="AN18" s="1">
        <v>8.1897957261705037E-3</v>
      </c>
      <c r="AO18" s="1">
        <v>3.6004638026828337E-2</v>
      </c>
      <c r="AP18" s="1">
        <v>-9.7541024983315211E-2</v>
      </c>
      <c r="AQ18" s="1">
        <v>-4.1011348278971557E-2</v>
      </c>
      <c r="AR18" s="1">
        <v>-5.4551934490948903E-2</v>
      </c>
      <c r="AS18" s="1">
        <v>7.0059522277664977E-3</v>
      </c>
      <c r="AT18" s="1">
        <v>8.4095363440992735E-2</v>
      </c>
      <c r="AU18" s="1">
        <v>-2.3186846544703529E-2</v>
      </c>
      <c r="AV18" s="1">
        <v>-7.5321166766348327E-2</v>
      </c>
      <c r="AW18" s="2">
        <v>-0.37511437833637618</v>
      </c>
      <c r="AX18" s="1">
        <v>0.1045139612215855</v>
      </c>
      <c r="AY18" s="1">
        <v>-0.11704692807920471</v>
      </c>
      <c r="AZ18" s="2">
        <v>-0.18837094052284831</v>
      </c>
      <c r="BA18" s="1">
        <v>9.4158307915094469E-2</v>
      </c>
      <c r="BB18" s="2">
        <v>0.15420922728694211</v>
      </c>
      <c r="BC18" s="1">
        <v>7.661128866199815E-2</v>
      </c>
      <c r="BD18" s="1">
        <v>5.1487785775638541E-2</v>
      </c>
      <c r="BE18" s="1">
        <v>5.8812824894542592E-2</v>
      </c>
      <c r="BF18" s="1">
        <v>1.604536974957688E-2</v>
      </c>
      <c r="BG18" s="1">
        <v>2.81337452438007E-2</v>
      </c>
      <c r="BH18" s="1">
        <v>8.2560036683636089E-3</v>
      </c>
      <c r="BI18" s="1">
        <v>6.6992281122628949E-2</v>
      </c>
      <c r="BJ18" s="1">
        <v>4.7413376687672412E-2</v>
      </c>
      <c r="BK18" s="1">
        <v>-2.0111355264850639E-2</v>
      </c>
      <c r="BL18" s="1">
        <v>-3.2372999772784718E-2</v>
      </c>
      <c r="BM18" s="1">
        <v>9.6455647722131249E-2</v>
      </c>
      <c r="BN18" s="1">
        <v>4.4965918446019423E-2</v>
      </c>
      <c r="BO18" s="1">
        <v>-1.6458205363312949E-2</v>
      </c>
      <c r="BP18" s="2">
        <v>0.45064124581111542</v>
      </c>
      <c r="BQ18" s="2">
        <v>0.18697879298638681</v>
      </c>
      <c r="BR18" s="1">
        <v>-4.032563683780007E-2</v>
      </c>
      <c r="BS18" s="1">
        <v>2.4933700965157339E-2</v>
      </c>
      <c r="BT18" s="1">
        <v>-7.8988297998955098E-2</v>
      </c>
      <c r="BU18" s="1">
        <v>9.8362322717319345E-2</v>
      </c>
      <c r="BV18" s="1">
        <v>2.7617343916997449E-2</v>
      </c>
      <c r="BW18" s="1">
        <v>-5.8782128614605729E-3</v>
      </c>
      <c r="BX18" s="1">
        <v>3.4282549608892203E-2</v>
      </c>
      <c r="BY18" s="1">
        <v>-1.796368178892388E-2</v>
      </c>
      <c r="BZ18" s="1">
        <v>2.9577874865261821E-2</v>
      </c>
      <c r="CA18" s="1">
        <v>-2.4511252609314812E-4</v>
      </c>
      <c r="CB18" s="1">
        <v>0.10525334236749979</v>
      </c>
      <c r="CC18" s="1">
        <v>-4.8280581661648829E-2</v>
      </c>
      <c r="CD18" s="1">
        <v>3.945712453563887E-2</v>
      </c>
      <c r="CE18" s="1">
        <v>-1.8300104119640101E-2</v>
      </c>
      <c r="CF18" s="1">
        <v>8.4147499174945184E-2</v>
      </c>
      <c r="CG18" s="1">
        <v>-4.8465422313584292E-2</v>
      </c>
      <c r="CH18" s="1">
        <v>9.8943780301398263E-2</v>
      </c>
      <c r="CI18" s="1">
        <v>-7.3176827041298798E-2</v>
      </c>
      <c r="CJ18" s="1">
        <v>0.112047340333348</v>
      </c>
      <c r="CK18" s="1">
        <v>-2.9014240965088939E-2</v>
      </c>
    </row>
    <row r="19" spans="1:89" x14ac:dyDescent="0.2">
      <c r="A19" s="10"/>
      <c r="B19" s="1" t="s">
        <v>10</v>
      </c>
      <c r="C19" s="1">
        <v>-8.8709522088455103E-2</v>
      </c>
      <c r="D19" s="1">
        <v>0.1418299398630318</v>
      </c>
      <c r="E19" s="1">
        <v>0.13450425901410759</v>
      </c>
      <c r="F19" s="1">
        <v>7.7239302093457043E-3</v>
      </c>
      <c r="G19" s="1">
        <v>-4.9638543870886093E-2</v>
      </c>
      <c r="H19" s="1">
        <v>-1.1520667541502769E-3</v>
      </c>
      <c r="I19" s="2">
        <v>-0.17372838314169059</v>
      </c>
      <c r="J19" s="1">
        <v>-0.10695763593692199</v>
      </c>
      <c r="K19" s="1">
        <v>5.4408410838153433E-2</v>
      </c>
      <c r="L19" s="1">
        <v>-0.1048133121511243</v>
      </c>
      <c r="M19" s="1">
        <v>0.15815674893511911</v>
      </c>
      <c r="N19" s="1">
        <v>6.520290881436297E-2</v>
      </c>
      <c r="O19" s="1">
        <v>-4.3820798306477809E-2</v>
      </c>
      <c r="P19" s="1">
        <v>-9.5758582331447892E-2</v>
      </c>
      <c r="Q19" s="1">
        <v>-3.5117427787299982E-2</v>
      </c>
      <c r="R19" s="1">
        <v>-0.15521821346409501</v>
      </c>
      <c r="S19" s="1">
        <v>-8.3566141821617812E-2</v>
      </c>
      <c r="T19" s="1">
        <v>-0.14378303868028919</v>
      </c>
      <c r="U19" s="1">
        <v>5.4408410838153523E-2</v>
      </c>
      <c r="V19" s="2">
        <v>-0.25468342368531949</v>
      </c>
      <c r="W19" s="1">
        <v>-0.14916548556591089</v>
      </c>
      <c r="X19" s="1">
        <v>-0.1276342083727357</v>
      </c>
      <c r="Y19" s="1">
        <v>-0.12562842031079291</v>
      </c>
      <c r="Z19" s="1">
        <v>-8.0844076096123138E-2</v>
      </c>
      <c r="AA19" s="1">
        <v>2.039493739621593E-2</v>
      </c>
      <c r="AB19" s="1">
        <v>-7.498325855203021E-2</v>
      </c>
      <c r="AC19" s="1">
        <v>7.6302565012449433E-2</v>
      </c>
      <c r="AD19" s="1">
        <v>-1.6607752598954091E-2</v>
      </c>
      <c r="AE19" s="2">
        <v>-0.18499461323288721</v>
      </c>
      <c r="AF19" s="1">
        <v>-9.940019493263029E-3</v>
      </c>
      <c r="AG19" s="1">
        <v>-0.1099147752303298</v>
      </c>
      <c r="AH19" s="1">
        <v>9.6329327374885962E-2</v>
      </c>
      <c r="AI19" s="1">
        <v>0.16356509498313401</v>
      </c>
      <c r="AJ19" s="1">
        <v>9.8634525744302232E-2</v>
      </c>
      <c r="AK19" s="1">
        <v>9.8983012452520128E-2</v>
      </c>
      <c r="AL19" s="2">
        <v>0.28370097907955549</v>
      </c>
      <c r="AM19" s="2">
        <v>0.23326121387034129</v>
      </c>
      <c r="AN19" s="1">
        <v>1.706324435077523E-2</v>
      </c>
      <c r="AO19" s="2">
        <v>-0.22777803871561031</v>
      </c>
      <c r="AP19" s="2">
        <v>0.17732480794024069</v>
      </c>
      <c r="AQ19" s="2">
        <v>-0.26830994778183809</v>
      </c>
      <c r="AR19" s="2">
        <v>0.26823641492806971</v>
      </c>
      <c r="AS19" s="1">
        <v>1.2779741789731461E-3</v>
      </c>
      <c r="AT19" s="1">
        <v>-0.1142583312015729</v>
      </c>
      <c r="AU19" s="1">
        <v>8.9040394139559151E-2</v>
      </c>
      <c r="AV19" s="1">
        <v>8.2470269675047114E-2</v>
      </c>
      <c r="AW19" s="1">
        <v>-0.14532430226938561</v>
      </c>
      <c r="AX19" s="1">
        <v>0.1227591048681524</v>
      </c>
      <c r="AY19" s="1">
        <v>-2.6320880304444821E-2</v>
      </c>
      <c r="AZ19" s="1">
        <v>9.2281949087029955E-2</v>
      </c>
      <c r="BA19" s="1">
        <v>-1.2299630498630979E-2</v>
      </c>
      <c r="BB19" s="1">
        <v>-4.027857984650713E-2</v>
      </c>
      <c r="BC19" s="1">
        <v>7.6841315994775491E-2</v>
      </c>
      <c r="BD19" s="1">
        <v>-7.9196855626573661E-3</v>
      </c>
      <c r="BE19" s="1">
        <v>6.8354670250319882E-2</v>
      </c>
      <c r="BF19" s="1">
        <v>3.3662717246443812E-2</v>
      </c>
      <c r="BG19" s="1">
        <v>4.6641933650482567E-2</v>
      </c>
      <c r="BH19" s="1">
        <v>-1.6173655696516291E-2</v>
      </c>
      <c r="BI19" s="1">
        <v>4.1918618042581852E-2</v>
      </c>
      <c r="BJ19" s="1">
        <v>5.5036457128660732E-2</v>
      </c>
      <c r="BK19" s="1">
        <v>0.1358533637014456</v>
      </c>
      <c r="BL19" s="1">
        <v>0.1216902427673586</v>
      </c>
      <c r="BM19" s="1">
        <v>-7.0419229090720209E-2</v>
      </c>
      <c r="BN19" s="1">
        <v>-2.5473472650827639E-2</v>
      </c>
      <c r="BO19" s="1">
        <v>4.999469762927472E-2</v>
      </c>
      <c r="BP19" s="2">
        <v>0.17129555675743169</v>
      </c>
      <c r="BQ19" s="1">
        <v>0.1176884062809619</v>
      </c>
      <c r="BR19" s="1">
        <v>4.1065900055167297E-2</v>
      </c>
      <c r="BS19" s="1">
        <v>-2.088089239140201E-2</v>
      </c>
      <c r="BT19" s="1">
        <v>2.432787835994317E-2</v>
      </c>
      <c r="BU19" s="1">
        <v>-3.8050825524998153E-2</v>
      </c>
      <c r="BV19" s="1">
        <v>5.4983094341715007E-2</v>
      </c>
      <c r="BW19" s="1">
        <v>-5.9526424971675533E-2</v>
      </c>
      <c r="BX19" s="1">
        <v>-6.1176514732899871E-3</v>
      </c>
      <c r="BY19" s="1">
        <v>3.6094741286584901E-2</v>
      </c>
      <c r="BZ19" s="1">
        <v>-1.0209688962161701E-2</v>
      </c>
      <c r="CA19" s="1">
        <v>1.019413754914889E-2</v>
      </c>
      <c r="CB19" s="1">
        <v>1.37201180460126E-2</v>
      </c>
      <c r="CC19" s="1">
        <v>-2.776203377751674E-2</v>
      </c>
      <c r="CD19" s="1">
        <v>-3.3104409016576422E-2</v>
      </c>
      <c r="CE19" s="1">
        <v>2.392860880010101E-2</v>
      </c>
      <c r="CF19" s="1">
        <v>-1.4673451422846651E-2</v>
      </c>
      <c r="CG19" s="1">
        <v>5.1024546225943383E-3</v>
      </c>
      <c r="CH19" s="1">
        <v>-3.1312422576099397E-2</v>
      </c>
      <c r="CI19" s="1">
        <v>3.7943610106401328E-2</v>
      </c>
      <c r="CJ19" s="1">
        <v>-3.3102862134672742E-2</v>
      </c>
      <c r="CK19" s="1">
        <v>8.6783720727545699E-3</v>
      </c>
    </row>
    <row r="20" spans="1:89" x14ac:dyDescent="0.2">
      <c r="A20" s="10"/>
      <c r="B20" s="1" t="s">
        <v>12</v>
      </c>
      <c r="C20" s="2">
        <v>-0.31350789114423311</v>
      </c>
      <c r="D20" s="1">
        <v>5.5232835893048171E-3</v>
      </c>
      <c r="E20" s="1">
        <v>-2.7189899101959351E-2</v>
      </c>
      <c r="F20" s="1">
        <v>0.10476885328453781</v>
      </c>
      <c r="G20" s="2">
        <v>0.1444791113504014</v>
      </c>
      <c r="H20" s="1">
        <v>4.1962284609504463E-2</v>
      </c>
      <c r="I20" s="1">
        <v>-3.6700818076643972E-2</v>
      </c>
      <c r="J20" s="1">
        <v>2.7339298495274281E-2</v>
      </c>
      <c r="K20" s="1">
        <v>-0.1089477882944208</v>
      </c>
      <c r="L20" s="1">
        <v>-7.1402222502373963E-2</v>
      </c>
      <c r="M20" s="2">
        <v>0.17851981280108309</v>
      </c>
      <c r="N20" s="1">
        <v>2.6830960062252551E-2</v>
      </c>
      <c r="O20" s="1">
        <v>-4.9000244114770497E-2</v>
      </c>
      <c r="P20" s="1">
        <v>-0.12618305629915519</v>
      </c>
      <c r="Q20" s="1">
        <v>6.657991286696284E-2</v>
      </c>
      <c r="R20" s="2">
        <v>-0.25175223329916868</v>
      </c>
      <c r="S20" s="1">
        <v>-1.085747916823002E-2</v>
      </c>
      <c r="T20" s="1">
        <v>-0.12820946836192851</v>
      </c>
      <c r="U20" s="1">
        <v>-0.1089477882944208</v>
      </c>
      <c r="V20" s="2">
        <v>0.5481785432599835</v>
      </c>
      <c r="W20" s="2">
        <v>0.27035514517856862</v>
      </c>
      <c r="X20" s="1">
        <v>9.487528240997907E-2</v>
      </c>
      <c r="Y20" s="1">
        <v>5.484811973604678E-2</v>
      </c>
      <c r="Z20" s="2">
        <v>0.19839244788851279</v>
      </c>
      <c r="AA20" s="1">
        <v>-3.0062938543652679E-2</v>
      </c>
      <c r="AB20" s="1">
        <v>8.7021244145032456E-2</v>
      </c>
      <c r="AC20" s="2">
        <v>0.14987325225219089</v>
      </c>
      <c r="AD20" s="1">
        <v>7.8145705069098109E-3</v>
      </c>
      <c r="AE20" s="1">
        <v>1.329349863760285E-2</v>
      </c>
      <c r="AF20" s="1">
        <v>0.1065056125149778</v>
      </c>
      <c r="AG20" s="1">
        <v>1.1039253789240609E-3</v>
      </c>
      <c r="AH20" s="1">
        <v>0.1226644373995342</v>
      </c>
      <c r="AI20" s="1">
        <v>8.9413946942475855E-2</v>
      </c>
      <c r="AJ20" s="1">
        <v>-4.5330509966850251E-2</v>
      </c>
      <c r="AK20" s="1">
        <v>-2.37130211871041E-2</v>
      </c>
      <c r="AL20" s="1">
        <v>-5.0320248817720861E-2</v>
      </c>
      <c r="AM20" s="1">
        <v>6.7768616345950328E-2</v>
      </c>
      <c r="AN20" s="1">
        <v>3.6387989236750858E-2</v>
      </c>
      <c r="AO20" s="1">
        <v>-6.0505127397609083E-2</v>
      </c>
      <c r="AP20" s="1">
        <v>3.022488815796949E-2</v>
      </c>
      <c r="AQ20" s="1">
        <v>-1.0666591572358511E-2</v>
      </c>
      <c r="AR20" s="1">
        <v>2.3974456492315999E-2</v>
      </c>
      <c r="AS20" s="1">
        <v>-7.044988425751208E-3</v>
      </c>
      <c r="AT20" s="2">
        <v>0.14664934143699959</v>
      </c>
      <c r="AU20" s="1">
        <v>-1.496986108910996E-2</v>
      </c>
      <c r="AV20" s="1">
        <v>-9.0380919973254578E-2</v>
      </c>
      <c r="AW20" s="1">
        <v>-0.13236956556465199</v>
      </c>
      <c r="AX20" s="1">
        <v>0.1127130720628193</v>
      </c>
      <c r="AY20" s="1">
        <v>8.9635692169419037E-2</v>
      </c>
      <c r="AZ20" s="1">
        <v>-3.4206314788399E-2</v>
      </c>
      <c r="BA20" s="1">
        <v>0.1046546733927828</v>
      </c>
      <c r="BB20" s="1">
        <v>5.6331885825821368E-2</v>
      </c>
      <c r="BC20" s="1">
        <v>6.7524497372438597E-2</v>
      </c>
      <c r="BD20" s="1">
        <v>1.7597414489400609E-2</v>
      </c>
      <c r="BE20" s="1">
        <v>9.7148302016255711E-2</v>
      </c>
      <c r="BF20" s="1">
        <v>2.0633615399356889E-2</v>
      </c>
      <c r="BG20" s="1">
        <v>2.8233211355198271E-2</v>
      </c>
      <c r="BH20" s="1">
        <v>3.3987284999904169E-3</v>
      </c>
      <c r="BI20" s="1">
        <v>7.8158245059552101E-2</v>
      </c>
      <c r="BJ20" s="1">
        <v>8.0911487835529414E-2</v>
      </c>
      <c r="BK20" s="1">
        <v>-8.9512857843739649E-3</v>
      </c>
      <c r="BL20" s="1">
        <v>4.8455461564042623E-2</v>
      </c>
      <c r="BM20" s="1">
        <v>-2.6516413757612461E-2</v>
      </c>
      <c r="BN20" s="1">
        <v>-4.9920844711469512E-3</v>
      </c>
      <c r="BO20" s="1">
        <v>9.3905204087288523E-3</v>
      </c>
      <c r="BP20" s="2">
        <v>0.1535797467349958</v>
      </c>
      <c r="BQ20" s="1">
        <v>4.8225611465577349E-2</v>
      </c>
      <c r="BR20" s="1">
        <v>-7.330055521938586E-2</v>
      </c>
      <c r="BS20" s="1">
        <v>4.540426098233908E-2</v>
      </c>
      <c r="BT20" s="1">
        <v>-8.4680626655978072E-2</v>
      </c>
      <c r="BU20" s="1">
        <v>7.7275503994223671E-2</v>
      </c>
      <c r="BV20" s="1">
        <v>-2.897160961098217E-2</v>
      </c>
      <c r="BW20" s="1">
        <v>2.4946647518454341E-2</v>
      </c>
      <c r="BX20" s="1">
        <v>-5.3000551570823499E-2</v>
      </c>
      <c r="BY20" s="1">
        <v>3.5457422742718722E-2</v>
      </c>
      <c r="BZ20" s="1">
        <v>-5.4338541029633453E-2</v>
      </c>
      <c r="CA20" s="1">
        <v>6.5412842398765159E-2</v>
      </c>
      <c r="CB20" s="1">
        <v>4.8657444791040689E-3</v>
      </c>
      <c r="CC20" s="1">
        <v>1.035644318523281E-2</v>
      </c>
      <c r="CD20" s="1">
        <v>-5.3054669106086777E-2</v>
      </c>
      <c r="CE20" s="1">
        <v>4.4846859935806893E-2</v>
      </c>
      <c r="CF20" s="1">
        <v>1.719822853725873E-2</v>
      </c>
      <c r="CG20" s="1">
        <v>1.306630662741369E-2</v>
      </c>
      <c r="CH20" s="1">
        <v>8.9852836930859756E-2</v>
      </c>
      <c r="CI20" s="1">
        <v>-7.9787505822445925E-2</v>
      </c>
      <c r="CJ20" s="1">
        <v>3.2297830717208532E-3</v>
      </c>
      <c r="CK20" s="1">
        <v>1.411217257397083E-2</v>
      </c>
    </row>
    <row r="21" spans="1:89" x14ac:dyDescent="0.2">
      <c r="A21" s="10"/>
      <c r="B21" s="1" t="s">
        <v>13</v>
      </c>
      <c r="C21" s="1">
        <v>-2.1658210436070979E-2</v>
      </c>
      <c r="D21" s="1">
        <v>9.6879655741851797E-2</v>
      </c>
      <c r="E21" s="1">
        <v>0.14337868554035441</v>
      </c>
      <c r="F21" s="1">
        <v>1.6176098445029759E-2</v>
      </c>
      <c r="G21" s="1">
        <v>1.648937546447983E-2</v>
      </c>
      <c r="H21" s="2">
        <v>0.45520700741007841</v>
      </c>
      <c r="I21" s="1">
        <v>7.99697282867496E-2</v>
      </c>
      <c r="J21" s="1">
        <v>4.2912458456233107E-2</v>
      </c>
      <c r="K21" s="1">
        <v>-0.1077636210930229</v>
      </c>
      <c r="L21" s="1">
        <v>-2.1701012838664421E-2</v>
      </c>
      <c r="M21" s="1">
        <v>-1.3775483195476199E-2</v>
      </c>
      <c r="N21" s="1">
        <v>3.058926129436779E-2</v>
      </c>
      <c r="O21" s="1">
        <v>4.5675113843605397E-3</v>
      </c>
      <c r="P21" s="1">
        <v>-5.8611739354772367E-2</v>
      </c>
      <c r="Q21" s="1">
        <v>6.2418773364570128E-2</v>
      </c>
      <c r="R21" s="1">
        <v>-0.15116564677035221</v>
      </c>
      <c r="S21" s="1">
        <v>1.8878758547616531E-2</v>
      </c>
      <c r="T21" s="1">
        <v>-4.1054651220702593E-2</v>
      </c>
      <c r="U21" s="1">
        <v>-0.10776362109302309</v>
      </c>
      <c r="V21" s="2">
        <v>-0.22252988997200041</v>
      </c>
      <c r="W21" s="1">
        <v>-7.1555459696805601E-2</v>
      </c>
      <c r="X21" s="1">
        <v>-0.14887077496358411</v>
      </c>
      <c r="Y21" s="1">
        <v>1.08024878954381E-2</v>
      </c>
      <c r="Z21" s="2">
        <v>0.27277699243213849</v>
      </c>
      <c r="AA21" s="1">
        <v>3.8187700274273529E-3</v>
      </c>
      <c r="AB21" s="1">
        <v>-4.0133562883290161E-2</v>
      </c>
      <c r="AC21" s="1">
        <v>1.486242417838967E-2</v>
      </c>
      <c r="AD21" s="1">
        <v>-0.11610048058712839</v>
      </c>
      <c r="AE21" s="2">
        <v>0.37179575722208691</v>
      </c>
      <c r="AF21" s="2">
        <v>0.19745230080962831</v>
      </c>
      <c r="AG21" s="1">
        <v>0.1579641813585424</v>
      </c>
      <c r="AH21" s="1">
        <v>3.8592592804396787E-2</v>
      </c>
      <c r="AI21" s="1">
        <v>1.5252948201393619E-2</v>
      </c>
      <c r="AJ21" s="1">
        <v>4.2155209779405227E-2</v>
      </c>
      <c r="AK21" s="1">
        <v>1.8116680965950038E-2</v>
      </c>
      <c r="AL21" s="1">
        <v>2.7283675480561449E-2</v>
      </c>
      <c r="AM21" s="1">
        <v>9.661554590524439E-2</v>
      </c>
      <c r="AN21" s="1">
        <v>-7.786250723822807E-3</v>
      </c>
      <c r="AO21" s="1">
        <v>-9.7024245304849072E-2</v>
      </c>
      <c r="AP21" s="1">
        <v>4.6980538362617778E-2</v>
      </c>
      <c r="AQ21" s="1">
        <v>-3.4550777771456223E-2</v>
      </c>
      <c r="AR21" s="1">
        <v>7.0288869341376473E-2</v>
      </c>
      <c r="AS21" s="1">
        <v>-1.148455444117426E-2</v>
      </c>
      <c r="AT21" s="1">
        <v>0.1197754412667645</v>
      </c>
      <c r="AU21" s="1">
        <v>2.7725516618496881E-2</v>
      </c>
      <c r="AV21" s="1">
        <v>5.4370347281820067E-2</v>
      </c>
      <c r="AW21" s="2">
        <v>0.17040572065832271</v>
      </c>
      <c r="AX21" s="1">
        <v>-7.008506591773829E-2</v>
      </c>
      <c r="AY21" s="1">
        <v>2.4304791454083891E-2</v>
      </c>
      <c r="AZ21" s="2">
        <v>-0.1582517652586137</v>
      </c>
      <c r="BA21" s="2">
        <v>-0.17204640164441409</v>
      </c>
      <c r="BB21" s="1">
        <v>-5.7890191033609817E-2</v>
      </c>
      <c r="BC21" s="1">
        <v>-3.7402785294347728E-2</v>
      </c>
      <c r="BD21" s="1">
        <v>4.4565635226117707E-2</v>
      </c>
      <c r="BE21" s="1">
        <v>5.6354238262926369E-2</v>
      </c>
      <c r="BF21" s="1">
        <v>3.2769575819149389E-2</v>
      </c>
      <c r="BG21" s="1">
        <v>-8.7385313974898734E-3</v>
      </c>
      <c r="BH21" s="1">
        <v>3.7239702307380628E-3</v>
      </c>
      <c r="BI21" s="1">
        <v>-6.4017562815958662E-2</v>
      </c>
      <c r="BJ21" s="1">
        <v>4.9278942329162127E-2</v>
      </c>
      <c r="BK21" s="2">
        <v>-0.1854134415278702</v>
      </c>
      <c r="BL21" s="1">
        <v>5.090712006061502E-2</v>
      </c>
      <c r="BM21" s="1">
        <v>2.5222077880928329E-2</v>
      </c>
      <c r="BN21" s="1">
        <v>2.4972797644496308E-2</v>
      </c>
      <c r="BO21" s="1">
        <v>5.0856152689204501E-2</v>
      </c>
      <c r="BP21" s="2">
        <v>-0.21273119406231061</v>
      </c>
      <c r="BQ21" s="1">
        <v>-6.5147632481028894E-2</v>
      </c>
      <c r="BR21" s="1">
        <v>2.7203344633626569E-2</v>
      </c>
      <c r="BS21" s="1">
        <v>-7.7411134720396504E-3</v>
      </c>
      <c r="BT21" s="1">
        <v>8.6404734269774297E-2</v>
      </c>
      <c r="BU21" s="1">
        <v>-7.1673501740765228E-2</v>
      </c>
      <c r="BV21" s="1">
        <v>-2.9912276318130419E-2</v>
      </c>
      <c r="BW21" s="1">
        <v>3.8772822569813292E-2</v>
      </c>
      <c r="BX21" s="1">
        <v>-9.6714965041544909E-4</v>
      </c>
      <c r="BY21" s="1">
        <v>1.232453454658748E-2</v>
      </c>
      <c r="BZ21" s="1">
        <v>-2.77366837380634E-2</v>
      </c>
      <c r="CA21" s="1">
        <v>9.2047753958229422E-3</v>
      </c>
      <c r="CB21" s="1">
        <v>5.7936936038898669E-3</v>
      </c>
      <c r="CC21" s="1">
        <v>-4.1138082216332421E-5</v>
      </c>
      <c r="CD21" s="1">
        <v>-8.1649857022292438E-2</v>
      </c>
      <c r="CE21" s="1">
        <v>6.8723034943487513E-2</v>
      </c>
      <c r="CF21" s="1">
        <v>-1.6466556315312769E-2</v>
      </c>
      <c r="CG21" s="1">
        <v>7.4897078037921092E-3</v>
      </c>
      <c r="CH21" s="1">
        <v>0.1191471583278622</v>
      </c>
      <c r="CI21" s="1">
        <v>-0.1234186450515365</v>
      </c>
      <c r="CJ21" s="1">
        <v>0.14386116545388439</v>
      </c>
      <c r="CK21" s="1">
        <v>-4.476046701987027E-2</v>
      </c>
    </row>
    <row r="22" spans="1:89" x14ac:dyDescent="0.2">
      <c r="A22" s="10"/>
      <c r="B22" s="1" t="s">
        <v>14</v>
      </c>
      <c r="C22" s="1">
        <v>-1.253797726353985E-2</v>
      </c>
      <c r="D22" s="1">
        <v>-1.159147673032674E-2</v>
      </c>
      <c r="E22" s="1">
        <v>-5.8517474224110903E-2</v>
      </c>
      <c r="F22" s="1">
        <v>6.7869978158226402E-2</v>
      </c>
      <c r="G22" s="2">
        <v>-0.23816095303745979</v>
      </c>
      <c r="H22" s="2">
        <v>-0.24956048727710509</v>
      </c>
      <c r="I22" s="1">
        <v>2.3765496090088149E-2</v>
      </c>
      <c r="J22" s="1">
        <v>-0.14986741761154379</v>
      </c>
      <c r="K22" s="1">
        <v>9.0358294391949617E-2</v>
      </c>
      <c r="L22" s="1">
        <v>-0.12634397481362861</v>
      </c>
      <c r="M22" s="1">
        <v>0.17310467743032951</v>
      </c>
      <c r="N22" s="1">
        <v>7.3487994996248834E-2</v>
      </c>
      <c r="O22" s="1">
        <v>4.7613431348128468E-2</v>
      </c>
      <c r="P22" s="1">
        <v>-0.1188176619213909</v>
      </c>
      <c r="Q22" s="2">
        <v>-0.182217594443919</v>
      </c>
      <c r="R22" s="1">
        <v>-0.1623296552353076</v>
      </c>
      <c r="S22" s="1">
        <v>-9.3765573824268714E-2</v>
      </c>
      <c r="T22" s="1">
        <v>1.324426078920277E-2</v>
      </c>
      <c r="U22" s="1">
        <v>9.0358294391949867E-2</v>
      </c>
      <c r="V22" s="1">
        <v>-7.6623984349000418E-2</v>
      </c>
      <c r="W22" s="1">
        <v>-8.3364746972744624E-2</v>
      </c>
      <c r="X22" s="1">
        <v>2.3835297551440291E-2</v>
      </c>
      <c r="Y22" s="1">
        <v>5.0865355379435047E-2</v>
      </c>
      <c r="Z22" s="1">
        <v>-0.1153937075039484</v>
      </c>
      <c r="AA22" s="1">
        <v>0.129265478780029</v>
      </c>
      <c r="AB22" s="1">
        <v>-0.1015033265285306</v>
      </c>
      <c r="AC22" s="2">
        <v>-0.18453541674834681</v>
      </c>
      <c r="AD22" s="1">
        <v>-8.5037742973409144E-2</v>
      </c>
      <c r="AE22" s="2">
        <v>0.18631319627390641</v>
      </c>
      <c r="AF22" s="1">
        <v>-8.7333334401963943E-3</v>
      </c>
      <c r="AG22" s="1">
        <v>2.8054292440093571E-2</v>
      </c>
      <c r="AH22" s="1">
        <v>5.0404345006356141E-2</v>
      </c>
      <c r="AI22" s="1">
        <v>-1.4436282015979339E-2</v>
      </c>
      <c r="AJ22" s="1">
        <v>-8.0000927575630196E-3</v>
      </c>
      <c r="AK22" s="1">
        <v>-4.0661779120679573E-2</v>
      </c>
      <c r="AL22" s="2">
        <v>-0.2113774228338286</v>
      </c>
      <c r="AM22" s="1">
        <v>-6.6310972618298228E-2</v>
      </c>
      <c r="AN22" s="1">
        <v>-2.1758786349036451E-2</v>
      </c>
      <c r="AO22" s="1">
        <v>6.1701800105654618E-2</v>
      </c>
      <c r="AP22" s="1">
        <v>-4.7214633194454687E-2</v>
      </c>
      <c r="AQ22" s="1">
        <v>9.6849631847388359E-2</v>
      </c>
      <c r="AR22" s="1">
        <v>-0.1124409947569736</v>
      </c>
      <c r="AS22" s="1">
        <v>1.2149755125413331E-2</v>
      </c>
      <c r="AT22" s="1">
        <v>0.10960920796397761</v>
      </c>
      <c r="AU22" s="1">
        <v>-2.1327959605511579E-2</v>
      </c>
      <c r="AV22" s="1">
        <v>9.8327516600253864E-2</v>
      </c>
      <c r="AW22" s="1">
        <v>-7.8702568428653599E-2</v>
      </c>
      <c r="AX22" s="1">
        <v>-5.3829919362293123E-2</v>
      </c>
      <c r="AY22" s="1">
        <v>8.6696014402248313E-3</v>
      </c>
      <c r="AZ22" s="1">
        <v>-0.1180458976468272</v>
      </c>
      <c r="BA22" s="1">
        <v>-0.10401719914569731</v>
      </c>
      <c r="BB22" s="1">
        <v>-0.15939613347437501</v>
      </c>
      <c r="BC22" s="1">
        <v>-2.4607213949314751E-2</v>
      </c>
      <c r="BD22" s="2">
        <v>0.1837392681198721</v>
      </c>
      <c r="BE22" s="1">
        <v>0.1036093992414405</v>
      </c>
      <c r="BF22" s="1">
        <v>8.3076776042293382E-2</v>
      </c>
      <c r="BG22" s="1">
        <v>-4.046234451762714E-2</v>
      </c>
      <c r="BH22" s="1">
        <v>-3.5277325995519021E-3</v>
      </c>
      <c r="BI22" s="1">
        <v>8.5500829351073879E-2</v>
      </c>
      <c r="BJ22" s="1">
        <v>0.16219101437961719</v>
      </c>
      <c r="BK22" s="1">
        <v>-0.11666947003514321</v>
      </c>
      <c r="BL22" s="1">
        <v>1.1612436230600071E-2</v>
      </c>
      <c r="BM22" s="1">
        <v>4.3405508749277177E-2</v>
      </c>
      <c r="BN22" s="1">
        <v>6.5634702504252643E-2</v>
      </c>
      <c r="BO22" s="2">
        <v>0.2115227618140969</v>
      </c>
      <c r="BP22" s="1">
        <v>0.1036726322530714</v>
      </c>
      <c r="BQ22" s="1">
        <v>5.9314425819454328E-2</v>
      </c>
      <c r="BR22" s="1">
        <v>-5.7874208151910368E-4</v>
      </c>
      <c r="BS22" s="1">
        <v>1.1137289063071841E-3</v>
      </c>
      <c r="BT22" s="1">
        <v>-8.774628250621061E-2</v>
      </c>
      <c r="BU22" s="1">
        <v>7.0946585597596645E-2</v>
      </c>
      <c r="BV22" s="1">
        <v>-8.7539301020120325E-3</v>
      </c>
      <c r="BW22" s="1">
        <v>1.6941955895387509E-2</v>
      </c>
      <c r="BX22" s="1">
        <v>-2.3514370598126739E-2</v>
      </c>
      <c r="BY22" s="1">
        <v>1.4852429707231919E-2</v>
      </c>
      <c r="BZ22" s="1">
        <v>-7.2840212842841146E-2</v>
      </c>
      <c r="CA22" s="1">
        <v>6.1692834003890903E-2</v>
      </c>
      <c r="CB22" s="1">
        <v>-7.5436862714158864E-2</v>
      </c>
      <c r="CC22" s="1">
        <v>5.3392304501351427E-2</v>
      </c>
      <c r="CD22" s="2">
        <v>-0.28818846630420669</v>
      </c>
      <c r="CE22" s="2">
        <v>0.31182152116484152</v>
      </c>
      <c r="CF22" s="1">
        <v>1.015899561744932E-2</v>
      </c>
      <c r="CG22" s="1">
        <v>-6.4643213784375377E-3</v>
      </c>
      <c r="CH22" s="1">
        <v>-5.0780995652666437E-2</v>
      </c>
      <c r="CI22" s="1">
        <v>5.6217410764203828E-2</v>
      </c>
      <c r="CJ22" s="1">
        <v>-0.12519935277764321</v>
      </c>
      <c r="CK22" s="1">
        <v>2.546838680422597E-2</v>
      </c>
    </row>
    <row r="23" spans="1:89" x14ac:dyDescent="0.2">
      <c r="A23" s="10"/>
      <c r="B23" s="1" t="s">
        <v>15</v>
      </c>
      <c r="C23" s="1">
        <v>-0.1065258296645972</v>
      </c>
      <c r="D23" s="1">
        <v>-4.597963547527531E-2</v>
      </c>
      <c r="E23" s="1">
        <v>-2.6070787713795309E-2</v>
      </c>
      <c r="F23" s="2">
        <v>-0.20541337514786309</v>
      </c>
      <c r="G23" s="1">
        <v>3.7952507356486392E-2</v>
      </c>
      <c r="H23" s="2">
        <v>0.31661619478328618</v>
      </c>
      <c r="I23" s="1">
        <v>2.8170368945854202E-2</v>
      </c>
      <c r="J23" s="1">
        <v>2.9528852614814281E-2</v>
      </c>
      <c r="K23" s="1">
        <v>7.560988023643217E-2</v>
      </c>
      <c r="L23" s="1">
        <v>1.533228796695318E-3</v>
      </c>
      <c r="M23" s="2">
        <v>-0.26710238373983869</v>
      </c>
      <c r="N23" s="1">
        <v>-0.1049995412154956</v>
      </c>
      <c r="O23" s="1">
        <v>-6.2609536171818247E-2</v>
      </c>
      <c r="P23" s="1">
        <v>3.1748277057588041E-3</v>
      </c>
      <c r="Q23" s="1">
        <v>-3.7734684852687793E-2</v>
      </c>
      <c r="R23" s="1">
        <v>7.8676337829823195E-2</v>
      </c>
      <c r="S23" s="1">
        <v>-3.9802732115535061E-2</v>
      </c>
      <c r="T23" s="1">
        <v>2.6757428616793241E-2</v>
      </c>
      <c r="U23" s="1">
        <v>7.5609880236432211E-2</v>
      </c>
      <c r="V23" s="1">
        <v>-1.2185209901070779E-2</v>
      </c>
      <c r="W23" s="1">
        <v>-2.9105540119101211E-2</v>
      </c>
      <c r="X23" s="1">
        <v>4.639886002039522E-2</v>
      </c>
      <c r="Y23" s="1">
        <v>-8.7215958375941774E-2</v>
      </c>
      <c r="Z23" s="1">
        <v>-0.15810501113882611</v>
      </c>
      <c r="AA23" s="1">
        <v>6.5095441896208077E-4</v>
      </c>
      <c r="AB23" s="1">
        <v>0.16139978623258741</v>
      </c>
      <c r="AC23" s="1">
        <v>6.9674824838965643E-2</v>
      </c>
      <c r="AD23" s="1">
        <v>0.1113615892832104</v>
      </c>
      <c r="AE23" s="1">
        <v>-0.12633959030389921</v>
      </c>
      <c r="AF23" s="1">
        <v>-4.5282441500697997E-2</v>
      </c>
      <c r="AG23" s="1">
        <v>-5.0782015303435943E-2</v>
      </c>
      <c r="AH23" s="1">
        <v>-4.904905889561384E-2</v>
      </c>
      <c r="AI23" s="1">
        <v>6.1589873005014922E-2</v>
      </c>
      <c r="AJ23" s="1">
        <v>4.4176627748619933E-2</v>
      </c>
      <c r="AK23" s="1">
        <v>-3.9019851647202923E-4</v>
      </c>
      <c r="AL23" s="1">
        <v>-8.8456263132599647E-2</v>
      </c>
      <c r="AM23" s="1">
        <v>-8.400466507492535E-2</v>
      </c>
      <c r="AN23" s="1">
        <v>-7.9026476724101315E-3</v>
      </c>
      <c r="AO23" s="1">
        <v>8.1712902195109821E-2</v>
      </c>
      <c r="AP23" s="1">
        <v>5.0071678679526277E-2</v>
      </c>
      <c r="AQ23" s="2">
        <v>0.20248434613163779</v>
      </c>
      <c r="AR23" s="1">
        <v>-6.2268102330976273E-2</v>
      </c>
      <c r="AS23" s="1">
        <v>-5.9125087044307953E-3</v>
      </c>
      <c r="AT23" s="1">
        <v>-7.6104340959731342E-2</v>
      </c>
      <c r="AU23" s="1">
        <v>9.4782536661570715E-2</v>
      </c>
      <c r="AV23" s="1">
        <v>1.1677060153594109E-2</v>
      </c>
      <c r="AW23" s="1">
        <v>-7.0353454754926242E-2</v>
      </c>
      <c r="AX23" s="2">
        <v>0.18338736681475831</v>
      </c>
      <c r="AY23" s="1">
        <v>-7.2046159595238191E-2</v>
      </c>
      <c r="AZ23" s="1">
        <v>0.11198084189356131</v>
      </c>
      <c r="BA23" s="1">
        <v>4.8471894302861349E-2</v>
      </c>
      <c r="BB23" s="1">
        <v>8.8071952403015061E-2</v>
      </c>
      <c r="BC23" s="2">
        <v>0.16685773764413661</v>
      </c>
      <c r="BD23" s="2">
        <v>0.17151691221977711</v>
      </c>
      <c r="BE23" s="2">
        <v>0.2819424990579672</v>
      </c>
      <c r="BF23" s="1">
        <v>8.5784361105253851E-2</v>
      </c>
      <c r="BG23" s="1">
        <v>5.9354922967339192E-2</v>
      </c>
      <c r="BH23" s="1">
        <v>1.4393674136536951E-2</v>
      </c>
      <c r="BI23" s="1">
        <v>5.7816748670966811E-2</v>
      </c>
      <c r="BJ23" s="2">
        <v>0.225438924461938</v>
      </c>
      <c r="BK23" s="1">
        <v>-5.7181933584373131E-2</v>
      </c>
      <c r="BL23" s="1">
        <v>9.0725719805617416E-2</v>
      </c>
      <c r="BM23" s="1">
        <v>-9.4690796550567183E-2</v>
      </c>
      <c r="BN23" s="1">
        <v>-2.6606151727721711E-2</v>
      </c>
      <c r="BO23" s="2">
        <v>0.22808372185893361</v>
      </c>
      <c r="BP23" s="1">
        <v>3.5849697439279349E-2</v>
      </c>
      <c r="BQ23" s="1">
        <v>1.0673994984008331E-2</v>
      </c>
      <c r="BR23" s="1">
        <v>2.9534207540297629E-2</v>
      </c>
      <c r="BS23" s="1">
        <v>-2.0928778969954421E-2</v>
      </c>
      <c r="BT23" s="1">
        <v>0.13609122660538231</v>
      </c>
      <c r="BU23" s="1">
        <v>-0.1524519558555498</v>
      </c>
      <c r="BV23" s="1">
        <v>-4.0045843242999153E-2</v>
      </c>
      <c r="BW23" s="1">
        <v>3.1532055998191998E-2</v>
      </c>
      <c r="BX23" s="1">
        <v>9.7761356177718778E-2</v>
      </c>
      <c r="BY23" s="1">
        <v>-5.2016586635924567E-2</v>
      </c>
      <c r="BZ23" s="1">
        <v>-0.1104327087716454</v>
      </c>
      <c r="CA23" s="1">
        <v>8.0062078417801885E-2</v>
      </c>
      <c r="CB23" s="1">
        <v>-0.1644340273142732</v>
      </c>
      <c r="CC23" s="1">
        <v>0.14877918213094601</v>
      </c>
      <c r="CD23" s="1">
        <v>-7.2373239867469255E-2</v>
      </c>
      <c r="CE23" s="1">
        <v>7.6945591051221993E-2</v>
      </c>
      <c r="CF23" s="1">
        <v>0.14363499677426231</v>
      </c>
      <c r="CG23" s="1">
        <v>-0.1231121729685975</v>
      </c>
      <c r="CH23" s="1">
        <v>6.6100584620656502E-2</v>
      </c>
      <c r="CI23" s="1">
        <v>-3.7749918500794268E-2</v>
      </c>
      <c r="CJ23" s="1">
        <v>0.13765638106491859</v>
      </c>
      <c r="CK23" s="1">
        <v>-2.211207981345864E-2</v>
      </c>
    </row>
    <row r="24" spans="1:89" x14ac:dyDescent="0.2">
      <c r="A24" s="10"/>
      <c r="B24" s="1" t="s">
        <v>16</v>
      </c>
      <c r="C24" s="1">
        <v>3.6531311010875048E-2</v>
      </c>
      <c r="D24" s="1">
        <v>-9.1772420963677284E-2</v>
      </c>
      <c r="E24" s="1">
        <v>-4.5745073486738577E-2</v>
      </c>
      <c r="F24" s="1">
        <v>3.5999845105318229E-2</v>
      </c>
      <c r="G24" s="1">
        <v>-2.0534376566059491E-2</v>
      </c>
      <c r="H24" s="1">
        <v>5.7928957310776907E-3</v>
      </c>
      <c r="I24" s="1">
        <v>0.13151273601816171</v>
      </c>
      <c r="J24" s="1">
        <v>9.2846147044519628E-2</v>
      </c>
      <c r="K24" s="1">
        <v>-1.9037646594776091E-2</v>
      </c>
      <c r="L24" s="1">
        <v>0.15904797198736839</v>
      </c>
      <c r="M24" s="1">
        <v>4.6619296192616948E-2</v>
      </c>
      <c r="N24" s="1">
        <v>7.3414021903678323E-2</v>
      </c>
      <c r="O24" s="1">
        <v>3.1490093306588543E-2</v>
      </c>
      <c r="P24" s="2">
        <v>0.16165227328178081</v>
      </c>
      <c r="Q24" s="1">
        <v>-3.1668475150939707E-2</v>
      </c>
      <c r="R24" s="2">
        <v>0.29905829737996059</v>
      </c>
      <c r="S24" s="1">
        <v>8.538745171329834E-2</v>
      </c>
      <c r="T24" s="1">
        <v>0.1011475186571915</v>
      </c>
      <c r="U24" s="1">
        <v>-1.9037646594775831E-2</v>
      </c>
      <c r="V24" s="1">
        <v>0.1554345212514433</v>
      </c>
      <c r="W24" s="1">
        <v>9.2981073559467442E-2</v>
      </c>
      <c r="X24" s="1">
        <v>0.1037281783494933</v>
      </c>
      <c r="Y24" s="1">
        <v>-3.4939516894075262E-2</v>
      </c>
      <c r="Z24" s="1">
        <v>5.627814292689709E-2</v>
      </c>
      <c r="AA24" s="1">
        <v>4.1963198286879798E-2</v>
      </c>
      <c r="AB24" s="1">
        <v>4.8041605352850063E-2</v>
      </c>
      <c r="AC24" s="1">
        <v>-8.1536774645457583E-2</v>
      </c>
      <c r="AD24" s="1">
        <v>-1.7944201406072391E-2</v>
      </c>
      <c r="AE24" s="2">
        <v>0.17174490241209969</v>
      </c>
      <c r="AF24" s="1">
        <v>2.953085802631069E-2</v>
      </c>
      <c r="AG24" s="1">
        <v>0.10912687131041569</v>
      </c>
      <c r="AH24" s="1">
        <v>-0.14441740054060159</v>
      </c>
      <c r="AI24" s="1">
        <v>-7.8735496032868627E-2</v>
      </c>
      <c r="AJ24" s="1">
        <v>1.8739784892954539E-2</v>
      </c>
      <c r="AK24" s="1">
        <v>0.1083060522917329</v>
      </c>
      <c r="AL24" s="2">
        <v>0.21216964956912349</v>
      </c>
      <c r="AM24" s="1">
        <v>0.13889890694684229</v>
      </c>
      <c r="AN24" s="1">
        <v>4.3319220651907081E-3</v>
      </c>
      <c r="AO24" s="1">
        <v>-0.1366854271211963</v>
      </c>
      <c r="AP24" s="1">
        <v>9.8348878632553316E-2</v>
      </c>
      <c r="AQ24" s="1">
        <v>-0.14331574807123251</v>
      </c>
      <c r="AR24" s="1">
        <v>0.15703413240163139</v>
      </c>
      <c r="AS24" s="1">
        <v>3.5848039300861259E-3</v>
      </c>
      <c r="AT24" s="1">
        <v>-0.1079436875818239</v>
      </c>
      <c r="AU24" s="1">
        <v>0.1017526993178636</v>
      </c>
      <c r="AV24" s="1">
        <v>-3.0801638931466192E-2</v>
      </c>
      <c r="AW24" s="1">
        <v>-6.4560043852336088E-2</v>
      </c>
      <c r="AX24" s="1">
        <v>-8.8313204919487284E-2</v>
      </c>
      <c r="AY24" s="1">
        <v>7.2960015600181186E-2</v>
      </c>
      <c r="AZ24" s="1">
        <v>-3.0152835187473258E-2</v>
      </c>
      <c r="BA24" s="1">
        <v>-8.364163284583033E-2</v>
      </c>
      <c r="BB24" s="1">
        <v>-0.1292396589912107</v>
      </c>
      <c r="BC24" s="1">
        <v>-6.9864675025499368E-2</v>
      </c>
      <c r="BD24" s="1">
        <v>0.16074462423477129</v>
      </c>
      <c r="BE24" s="1">
        <v>0.13325942737303301</v>
      </c>
      <c r="BF24" s="1">
        <v>4.0238945076804117E-2</v>
      </c>
      <c r="BG24" s="1">
        <v>-1.192291109417638E-3</v>
      </c>
      <c r="BH24" s="1">
        <v>6.3871569165266581E-2</v>
      </c>
      <c r="BI24" s="1">
        <v>6.0577406320581742E-2</v>
      </c>
      <c r="BJ24" s="1">
        <v>0.1420137493501489</v>
      </c>
      <c r="BK24" s="1">
        <v>5.1634234833276497E-2</v>
      </c>
      <c r="BL24" s="1">
        <v>-0.1187214340140354</v>
      </c>
      <c r="BM24" s="1">
        <v>0.1097058283148831</v>
      </c>
      <c r="BN24" s="1">
        <v>2.437739055408376E-2</v>
      </c>
      <c r="BO24" s="1">
        <v>0.1248408591271999</v>
      </c>
      <c r="BP24" s="1">
        <v>5.9245364008502291E-2</v>
      </c>
      <c r="BQ24" s="2">
        <v>0.17205723237000781</v>
      </c>
      <c r="BR24" s="1">
        <v>8.1212896833694412E-3</v>
      </c>
      <c r="BS24" s="1">
        <v>-7.2757721582837271E-3</v>
      </c>
      <c r="BT24" s="1">
        <v>6.9983056912345035E-2</v>
      </c>
      <c r="BU24" s="1">
        <v>-2.9092494638004378E-2</v>
      </c>
      <c r="BV24" s="1">
        <v>-7.8910637696387217E-2</v>
      </c>
      <c r="BW24" s="1">
        <v>4.8471451272681917E-2</v>
      </c>
      <c r="BX24" s="1">
        <v>-6.7953106830564894E-2</v>
      </c>
      <c r="BY24" s="1">
        <v>3.606362811796817E-2</v>
      </c>
      <c r="BZ24" s="2">
        <v>-0.23145081172459819</v>
      </c>
      <c r="CA24" s="1">
        <v>0.15496985277056319</v>
      </c>
      <c r="CB24" s="2">
        <v>-0.23331451946545409</v>
      </c>
      <c r="CC24" s="2">
        <v>0.1635982815995658</v>
      </c>
      <c r="CD24" s="1">
        <v>0.11784069433560709</v>
      </c>
      <c r="CE24" s="1">
        <v>-8.8358680668583905E-2</v>
      </c>
      <c r="CF24" s="2">
        <v>-0.1687670002500013</v>
      </c>
      <c r="CG24" s="1">
        <v>0.1139140454518246</v>
      </c>
      <c r="CH24" s="1">
        <v>-9.3598746154321746E-2</v>
      </c>
      <c r="CI24" s="1">
        <v>8.1290372602838362E-2</v>
      </c>
      <c r="CJ24" s="2">
        <v>-0.17989834230010859</v>
      </c>
      <c r="CK24" s="1">
        <v>5.0293942730727487E-2</v>
      </c>
    </row>
    <row r="25" spans="1:89" x14ac:dyDescent="0.2">
      <c r="A25" s="10"/>
      <c r="B25" s="1" t="s">
        <v>17</v>
      </c>
      <c r="C25" s="1">
        <v>-0.10622905575349161</v>
      </c>
      <c r="D25" s="1">
        <v>-9.7687441960092949E-2</v>
      </c>
      <c r="E25" s="2">
        <v>-0.17081070914326191</v>
      </c>
      <c r="F25" s="1">
        <v>-0.1167110907880182</v>
      </c>
      <c r="G25" s="1">
        <v>-8.2462130650930554E-2</v>
      </c>
      <c r="H25" s="1">
        <v>-2.943148559432442E-2</v>
      </c>
      <c r="I25" s="2">
        <v>0.17804506725808569</v>
      </c>
      <c r="J25" s="1">
        <v>-8.7709017051802257E-2</v>
      </c>
      <c r="K25" s="1">
        <v>0.15520050173499461</v>
      </c>
      <c r="L25" s="1">
        <v>-7.8642794554032086E-2</v>
      </c>
      <c r="M25" s="1">
        <v>-4.6964005975289311E-2</v>
      </c>
      <c r="N25" s="1">
        <v>-1.8485449532028662E-2</v>
      </c>
      <c r="O25" s="1">
        <v>4.4233441685067973E-2</v>
      </c>
      <c r="P25" s="1">
        <v>3.880120686778898E-3</v>
      </c>
      <c r="Q25" s="2">
        <v>-0.21530509118747301</v>
      </c>
      <c r="R25" s="1">
        <v>-2.0850873730696722E-3</v>
      </c>
      <c r="S25" s="1">
        <v>-9.6717954364208825E-3</v>
      </c>
      <c r="T25" s="1">
        <v>-3.7807308178380801E-2</v>
      </c>
      <c r="U25" s="1">
        <v>0.15520050173499461</v>
      </c>
      <c r="V25" s="1">
        <v>7.2239531794246858E-2</v>
      </c>
      <c r="W25" s="1">
        <v>-8.2816389512554919E-3</v>
      </c>
      <c r="X25" s="1">
        <v>4.8026984721216547E-2</v>
      </c>
      <c r="Y25" s="1">
        <v>-1.4833181669091811E-2</v>
      </c>
      <c r="Z25" s="1">
        <v>-0.1154683398416893</v>
      </c>
      <c r="AA25" s="2">
        <v>0.2059071615733862</v>
      </c>
      <c r="AB25" s="1">
        <v>3.9672772072407013E-2</v>
      </c>
      <c r="AC25" s="1">
        <v>-6.3600020582650824E-2</v>
      </c>
      <c r="AD25" s="1">
        <v>-3.1320115967096593E-2</v>
      </c>
      <c r="AE25" s="1">
        <v>4.9148166173827793E-2</v>
      </c>
      <c r="AF25" s="1">
        <v>-5.1918909619700727E-2</v>
      </c>
      <c r="AG25" s="1">
        <v>-6.5789387919538575E-2</v>
      </c>
      <c r="AH25" s="1">
        <v>-5.6726422371198661E-2</v>
      </c>
      <c r="AI25" s="1">
        <v>0.11040944587815101</v>
      </c>
      <c r="AJ25" s="1">
        <v>0.1135649169826078</v>
      </c>
      <c r="AK25" s="1">
        <v>-5.2520464319204402E-3</v>
      </c>
      <c r="AL25" s="1">
        <v>6.6495198177654424E-2</v>
      </c>
      <c r="AM25" s="1">
        <v>4.1776813695138963E-2</v>
      </c>
      <c r="AN25" s="1">
        <v>-9.9784907848568929E-2</v>
      </c>
      <c r="AO25" s="1">
        <v>-5.9348556722508251E-2</v>
      </c>
      <c r="AP25" s="1">
        <v>5.6022618415141459E-2</v>
      </c>
      <c r="AQ25" s="1">
        <v>-0.10156464275936131</v>
      </c>
      <c r="AR25" s="1">
        <v>1.007946966816689E-2</v>
      </c>
      <c r="AS25" s="1">
        <v>5.6117262890691732E-3</v>
      </c>
      <c r="AT25" s="1">
        <v>-7.8811729995157911E-2</v>
      </c>
      <c r="AU25" s="1">
        <v>5.8848768249481043E-2</v>
      </c>
      <c r="AV25" s="1">
        <v>8.8540244706183421E-2</v>
      </c>
      <c r="AW25" s="1">
        <v>1.477541562892748E-2</v>
      </c>
      <c r="AX25" s="1">
        <v>3.6650152387296547E-2</v>
      </c>
      <c r="AY25" s="1">
        <v>3.03712887646483E-3</v>
      </c>
      <c r="AZ25" s="1">
        <v>-3.7300753451922693E-2</v>
      </c>
      <c r="BA25" s="1">
        <v>1.321921007902205E-2</v>
      </c>
      <c r="BB25" s="1">
        <v>1.9224917214724229E-2</v>
      </c>
      <c r="BC25" s="1">
        <v>0.1555205397805085</v>
      </c>
      <c r="BD25" s="2">
        <v>-0.16114364540253179</v>
      </c>
      <c r="BE25" s="1">
        <v>-0.13378918181825131</v>
      </c>
      <c r="BF25" s="1">
        <v>1.152850274530135E-2</v>
      </c>
      <c r="BG25" s="1">
        <v>-3.8677137505075503E-2</v>
      </c>
      <c r="BH25" s="1">
        <v>-5.6434924567793088E-2</v>
      </c>
      <c r="BI25" s="1">
        <v>-3.3573948677011189E-2</v>
      </c>
      <c r="BJ25" s="1">
        <v>-0.1091176306879473</v>
      </c>
      <c r="BK25" s="1">
        <v>-5.027119350089565E-2</v>
      </c>
      <c r="BL25" s="1">
        <v>-5.5113147126223228E-2</v>
      </c>
      <c r="BM25" s="2">
        <v>0.18067130770795109</v>
      </c>
      <c r="BN25" s="2">
        <v>0.21720347794813011</v>
      </c>
      <c r="BO25" s="1">
        <v>-0.131606625798843</v>
      </c>
      <c r="BP25" s="1">
        <v>-1.559816423988402E-2</v>
      </c>
      <c r="BQ25" s="1">
        <v>7.6909122879581368E-3</v>
      </c>
      <c r="BR25" s="1">
        <v>1.7792481024472541E-2</v>
      </c>
      <c r="BS25" s="1">
        <v>-4.6704647380369233E-3</v>
      </c>
      <c r="BT25" s="1">
        <v>-7.0724649233845097E-2</v>
      </c>
      <c r="BU25" s="1">
        <v>7.9980922373006538E-2</v>
      </c>
      <c r="BV25" s="1">
        <v>-7.8632130117119364E-2</v>
      </c>
      <c r="BW25" s="1">
        <v>0.12918120683679851</v>
      </c>
      <c r="BX25" s="1">
        <v>1.29061674629244E-2</v>
      </c>
      <c r="BY25" s="1">
        <v>1.7415742337651089E-2</v>
      </c>
      <c r="BZ25" s="1">
        <v>-0.1245581006228537</v>
      </c>
      <c r="CA25" s="1">
        <v>8.7769716546893237E-2</v>
      </c>
      <c r="CB25" s="1">
        <v>2.6346692920198731E-2</v>
      </c>
      <c r="CC25" s="1">
        <v>-2.747550114753863E-2</v>
      </c>
      <c r="CD25" s="1">
        <v>4.7723201376651717E-2</v>
      </c>
      <c r="CE25" s="1">
        <v>-1.8372539216054491E-2</v>
      </c>
      <c r="CF25" s="1">
        <v>-0.13940783317930561</v>
      </c>
      <c r="CG25" s="1">
        <v>0.12305663807520251</v>
      </c>
      <c r="CH25" s="2">
        <v>0.38828688377930792</v>
      </c>
      <c r="CI25" s="2">
        <v>-0.36542978151260902</v>
      </c>
      <c r="CJ25" s="2">
        <v>0.2093855290352892</v>
      </c>
      <c r="CK25" s="1">
        <v>-7.9940537300077621E-2</v>
      </c>
    </row>
    <row r="26" spans="1:89" x14ac:dyDescent="0.2">
      <c r="A26" s="10"/>
      <c r="B26" s="1" t="s">
        <v>18</v>
      </c>
      <c r="C26" s="1">
        <v>3.1476411752686513E-2</v>
      </c>
      <c r="D26" s="1">
        <v>3.9062888333886339E-2</v>
      </c>
      <c r="E26" s="1">
        <v>4.7486469189383339E-2</v>
      </c>
      <c r="F26" s="1">
        <v>2.7855851382279039E-2</v>
      </c>
      <c r="G26" s="1">
        <v>-1.260006292790143E-2</v>
      </c>
      <c r="H26" s="1">
        <v>7.3611954573536394E-3</v>
      </c>
      <c r="I26" s="1">
        <v>-5.3106422944233907E-2</v>
      </c>
      <c r="J26" s="1">
        <v>-2.2954124831387972E-2</v>
      </c>
      <c r="K26" s="1">
        <v>-1.0017595186656E-2</v>
      </c>
      <c r="L26" s="1">
        <v>-9.6735464965158571E-2</v>
      </c>
      <c r="M26" s="1">
        <v>7.8410096037680135E-2</v>
      </c>
      <c r="N26" s="1">
        <v>-1.099396760863172E-2</v>
      </c>
      <c r="O26" s="1">
        <v>-7.0882133428238903E-3</v>
      </c>
      <c r="P26" s="1">
        <v>-8.7938249669864202E-2</v>
      </c>
      <c r="Q26" s="1">
        <v>5.5820900016568913E-3</v>
      </c>
      <c r="R26" s="2">
        <v>-0.20348852511697321</v>
      </c>
      <c r="S26" s="1">
        <v>-3.6846158858043973E-2</v>
      </c>
      <c r="T26" s="1">
        <v>-4.2241068281917947E-2</v>
      </c>
      <c r="U26" s="1">
        <v>-1.001759518665599E-2</v>
      </c>
      <c r="V26" s="2">
        <v>-0.17171420581852551</v>
      </c>
      <c r="W26" s="1">
        <v>-6.7743660056130695E-2</v>
      </c>
      <c r="X26" s="1">
        <v>-3.2962242350199622E-2</v>
      </c>
      <c r="Y26" s="1">
        <v>4.050151205591334E-2</v>
      </c>
      <c r="Z26" s="1">
        <v>1.864581150059386E-2</v>
      </c>
      <c r="AA26" s="1">
        <v>-7.4479263868688084E-3</v>
      </c>
      <c r="AB26" s="1">
        <v>-8.1099891541522806E-2</v>
      </c>
      <c r="AC26" s="1">
        <v>2.268400669288553E-2</v>
      </c>
      <c r="AD26" s="1">
        <v>-3.8503483154330227E-2</v>
      </c>
      <c r="AE26" s="1">
        <v>-6.8388961701791859E-2</v>
      </c>
      <c r="AF26" s="1">
        <v>1.344655449835557E-2</v>
      </c>
      <c r="AG26" s="1">
        <v>-3.133721001472542E-2</v>
      </c>
      <c r="AH26" s="1">
        <v>9.7918369208184516E-2</v>
      </c>
      <c r="AI26" s="1">
        <v>1.8048490323358989E-2</v>
      </c>
      <c r="AJ26" s="1">
        <v>-1.33648405705275E-2</v>
      </c>
      <c r="AK26" s="1">
        <v>-5.5724885235524137E-2</v>
      </c>
      <c r="AL26" s="2">
        <v>-0.13542791037471791</v>
      </c>
      <c r="AM26" s="1">
        <v>-7.2013819739802878E-2</v>
      </c>
      <c r="AN26" s="1">
        <v>4.2966554774857391E-2</v>
      </c>
      <c r="AO26" s="1">
        <v>7.9023107253413286E-2</v>
      </c>
      <c r="AP26" s="1">
        <v>-7.1432439811033047E-2</v>
      </c>
      <c r="AQ26" s="1">
        <v>9.9936801143751502E-2</v>
      </c>
      <c r="AR26" s="1">
        <v>-0.1049323365194296</v>
      </c>
      <c r="AS26" s="1">
        <v>1.6361987644812101E-2</v>
      </c>
      <c r="AT26" s="1">
        <v>7.9728451599775527E-2</v>
      </c>
      <c r="AU26" s="1">
        <v>-3.6174204405117587E-2</v>
      </c>
      <c r="AV26" s="1">
        <v>1.5663068223271161E-2</v>
      </c>
      <c r="AW26" s="1">
        <v>5.9756067721692821E-3</v>
      </c>
      <c r="AX26" s="1">
        <v>-4.435831168264856E-2</v>
      </c>
      <c r="AY26" s="1">
        <v>-2.0517901381745331E-2</v>
      </c>
      <c r="AZ26" s="1">
        <v>1.332033856418308E-2</v>
      </c>
      <c r="BA26" s="1">
        <v>2.5117332571512972E-2</v>
      </c>
      <c r="BB26" s="1">
        <v>-3.3668559083851163E-2</v>
      </c>
      <c r="BC26" s="1">
        <v>-2.9464287380189941E-2</v>
      </c>
      <c r="BD26" s="1">
        <v>1.29738384575597E-2</v>
      </c>
      <c r="BE26" s="1">
        <v>-4.4559418737006636E-3</v>
      </c>
      <c r="BF26" s="1">
        <v>0.10364857272707589</v>
      </c>
      <c r="BG26" s="1">
        <v>-5.2376442636545402E-2</v>
      </c>
      <c r="BH26" s="1">
        <v>-2.6544864593098509E-2</v>
      </c>
      <c r="BI26" s="1">
        <v>4.2619571702280479E-2</v>
      </c>
      <c r="BJ26" s="1">
        <v>6.581253966235609E-2</v>
      </c>
      <c r="BK26" s="1">
        <v>4.7971163511698278E-2</v>
      </c>
      <c r="BL26" s="1">
        <v>9.4789665296677511E-2</v>
      </c>
      <c r="BM26" s="1">
        <v>-8.7631950865351374E-2</v>
      </c>
      <c r="BN26" s="1">
        <v>-2.7651742817080091E-2</v>
      </c>
      <c r="BO26" s="1">
        <v>7.2182923541668317E-2</v>
      </c>
      <c r="BP26" s="1">
        <v>-4.3386994914580382E-2</v>
      </c>
      <c r="BQ26" s="1">
        <v>-3.897067790318931E-2</v>
      </c>
      <c r="BR26" s="1">
        <v>0.12651387101567271</v>
      </c>
      <c r="BS26" s="1">
        <v>-7.7138685102829799E-2</v>
      </c>
      <c r="BT26" s="2">
        <v>-0.1331282062247523</v>
      </c>
      <c r="BU26" s="2">
        <v>0.15147511788468249</v>
      </c>
      <c r="BV26" s="1">
        <v>-0.1014940827155094</v>
      </c>
      <c r="BW26" s="1">
        <v>9.9287665460201457E-2</v>
      </c>
      <c r="BX26" s="1">
        <v>-2.2688406834975201E-2</v>
      </c>
      <c r="BY26" s="1">
        <v>5.0998304741873748E-3</v>
      </c>
      <c r="BZ26" s="2">
        <v>-0.33643399558276721</v>
      </c>
      <c r="CA26" s="2">
        <v>0.24370425166219031</v>
      </c>
      <c r="CB26" s="2">
        <v>-0.1498468399291093</v>
      </c>
      <c r="CC26" s="1">
        <v>0.1166596858258815</v>
      </c>
      <c r="CD26" s="2">
        <v>0.50418628281497369</v>
      </c>
      <c r="CE26" s="2">
        <v>-0.42669137214601471</v>
      </c>
      <c r="CF26" s="1">
        <v>-1.163658482511736E-2</v>
      </c>
      <c r="CG26" s="1">
        <v>3.0942936429921949E-2</v>
      </c>
      <c r="CH26" s="1">
        <v>2.50390219303505E-2</v>
      </c>
      <c r="CI26" s="1">
        <v>-4.1950690486003341E-2</v>
      </c>
      <c r="CJ26" s="1">
        <v>-7.3079413183835151E-2</v>
      </c>
      <c r="CK26" s="1">
        <v>2.8772272442331069E-2</v>
      </c>
    </row>
    <row r="27" spans="1:89" x14ac:dyDescent="0.2">
      <c r="A27" s="10"/>
      <c r="B27" s="1" t="s">
        <v>19</v>
      </c>
      <c r="C27" s="2">
        <v>0.25832392441599988</v>
      </c>
      <c r="D27" s="1">
        <v>3.0340968480081259E-2</v>
      </c>
      <c r="E27" s="1">
        <v>-6.8917878439120894E-3</v>
      </c>
      <c r="F27" s="1">
        <v>4.3345099855683737E-2</v>
      </c>
      <c r="G27" s="1">
        <v>7.2541174738956493E-2</v>
      </c>
      <c r="H27" s="1">
        <v>5.1517430660381697E-2</v>
      </c>
      <c r="I27" s="1">
        <v>3.7809259471717177E-2</v>
      </c>
      <c r="J27" s="1">
        <v>6.0975689159402768E-2</v>
      </c>
      <c r="K27" s="1">
        <v>-5.5119600202313518E-2</v>
      </c>
      <c r="L27" s="1">
        <v>4.0247940610630251E-2</v>
      </c>
      <c r="M27" s="1">
        <v>6.8999792871888566E-2</v>
      </c>
      <c r="N27" s="1">
        <v>-4.075211109684411E-2</v>
      </c>
      <c r="O27" s="1">
        <v>-8.2301116092776183E-2</v>
      </c>
      <c r="P27" s="1">
        <v>7.7938302056518832E-2</v>
      </c>
      <c r="Q27" s="1">
        <v>0.1155122398009033</v>
      </c>
      <c r="R27" s="1">
        <v>2.5376281018946661E-2</v>
      </c>
      <c r="S27" s="1">
        <v>4.9683507540346013E-2</v>
      </c>
      <c r="T27" s="1">
        <v>5.3578026373515282E-2</v>
      </c>
      <c r="U27" s="1">
        <v>-5.5119600202313553E-2</v>
      </c>
      <c r="V27" s="1">
        <v>-1.07002388487851E-2</v>
      </c>
      <c r="W27" s="1">
        <v>1.502305167629828E-2</v>
      </c>
      <c r="X27" s="1">
        <v>-1.392844643625699E-3</v>
      </c>
      <c r="Y27" s="2">
        <v>0.17086603237989309</v>
      </c>
      <c r="Z27" s="1">
        <v>-3.865397158301296E-2</v>
      </c>
      <c r="AA27" s="1">
        <v>-0.1036729409154508</v>
      </c>
      <c r="AB27" s="1">
        <v>3.597285314453844E-3</v>
      </c>
      <c r="AC27" s="1">
        <v>-1.849791070773972E-2</v>
      </c>
      <c r="AD27" s="1">
        <v>-2.2096737882297369E-2</v>
      </c>
      <c r="AE27" s="1">
        <v>-0.16120360594177591</v>
      </c>
      <c r="AF27" s="2">
        <v>-0.17470172853333479</v>
      </c>
      <c r="AG27" s="1">
        <v>-0.13207933199348121</v>
      </c>
      <c r="AH27" s="1">
        <v>2.3111981163803121E-2</v>
      </c>
      <c r="AI27" s="1">
        <v>-3.5398895796394401E-2</v>
      </c>
      <c r="AJ27" s="1">
        <v>-8.6590697322831936E-2</v>
      </c>
      <c r="AK27" s="1">
        <v>-5.9134979482098747E-2</v>
      </c>
      <c r="AL27" s="1">
        <v>9.7387194138819563E-3</v>
      </c>
      <c r="AM27" s="1">
        <v>5.7135581540545738E-2</v>
      </c>
      <c r="AN27" s="1">
        <v>0.10877926849727761</v>
      </c>
      <c r="AO27" s="1">
        <v>-3.6921429166907542E-2</v>
      </c>
      <c r="AP27" s="1">
        <v>3.2761887338338049E-2</v>
      </c>
      <c r="AQ27" s="1">
        <v>7.1855851187327208E-2</v>
      </c>
      <c r="AR27" s="1">
        <v>-2.0975979720599149E-2</v>
      </c>
      <c r="AS27" s="1">
        <v>1.0724824706419301E-2</v>
      </c>
      <c r="AT27" s="1">
        <v>7.7998997762393246E-2</v>
      </c>
      <c r="AU27" s="1">
        <v>-0.1518184265736712</v>
      </c>
      <c r="AV27" s="1">
        <v>-1.8886502361745931E-2</v>
      </c>
      <c r="AW27" s="1">
        <v>2.56074862523064E-2</v>
      </c>
      <c r="AX27" s="1">
        <v>-4.037267089316985E-2</v>
      </c>
      <c r="AY27" s="1">
        <v>-6.461650632038107E-3</v>
      </c>
      <c r="AZ27" s="1">
        <v>7.9792186841209062E-2</v>
      </c>
      <c r="BA27" s="1">
        <v>-6.3524607528215399E-2</v>
      </c>
      <c r="BB27" s="1">
        <v>-0.1189256865823632</v>
      </c>
      <c r="BC27" s="1">
        <v>-0.1187785009177045</v>
      </c>
      <c r="BD27" s="1">
        <v>-3.9176892795761753E-2</v>
      </c>
      <c r="BE27" s="1">
        <v>-2.4834263508807061E-2</v>
      </c>
      <c r="BF27" s="1">
        <v>5.4431016858589093E-3</v>
      </c>
      <c r="BG27" s="1">
        <v>0.13550814726782309</v>
      </c>
      <c r="BH27" s="1">
        <v>0.1471086270174238</v>
      </c>
      <c r="BI27" s="1">
        <v>0.14212032228060359</v>
      </c>
      <c r="BJ27" s="1">
        <v>-3.2432614554454728E-4</v>
      </c>
      <c r="BK27" s="1">
        <v>0.16074994715758201</v>
      </c>
      <c r="BL27" s="1">
        <v>7.3764840082981856E-2</v>
      </c>
      <c r="BM27" s="1">
        <v>-0.1217413089925663</v>
      </c>
      <c r="BN27" s="1">
        <v>-0.1535345449420791</v>
      </c>
      <c r="BO27" s="1">
        <v>1.57639287351896E-2</v>
      </c>
      <c r="BP27" s="1">
        <v>-5.4371649444797027E-2</v>
      </c>
      <c r="BQ27" s="1">
        <v>2.8953955075730509E-2</v>
      </c>
      <c r="BR27" s="1">
        <v>0.13240805779664239</v>
      </c>
      <c r="BS27" s="1">
        <v>-8.3061573700062979E-2</v>
      </c>
      <c r="BT27" s="1">
        <v>2.0091443161695002E-2</v>
      </c>
      <c r="BU27" s="1">
        <v>-3.5330268891417119E-2</v>
      </c>
      <c r="BV27" s="1">
        <v>0.147594347092638</v>
      </c>
      <c r="BW27" s="1">
        <v>-0.16029254969597409</v>
      </c>
      <c r="BX27" s="1">
        <v>6.4377442833889686E-2</v>
      </c>
      <c r="BY27" s="1">
        <v>-2.604768900917185E-2</v>
      </c>
      <c r="BZ27" s="2">
        <v>-0.21834402385983401</v>
      </c>
      <c r="CA27" s="2">
        <v>0.19634704502304051</v>
      </c>
      <c r="CB27" s="1">
        <v>4.2172932329368681E-2</v>
      </c>
      <c r="CC27" s="1">
        <v>-3.3898909270164132E-2</v>
      </c>
      <c r="CD27" s="2">
        <v>-0.2141825091936008</v>
      </c>
      <c r="CE27" s="2">
        <v>0.21885137408630539</v>
      </c>
      <c r="CF27" s="2">
        <v>-0.17023268889959639</v>
      </c>
      <c r="CG27" s="1">
        <v>0.1458363466084818</v>
      </c>
      <c r="CH27" s="2">
        <v>0.32311004106635399</v>
      </c>
      <c r="CI27" s="2">
        <v>-0.29035911385505991</v>
      </c>
      <c r="CJ27" s="1">
        <v>-0.1006788970941058</v>
      </c>
      <c r="CK27" s="1">
        <v>3.7277353088627438E-2</v>
      </c>
    </row>
    <row r="28" spans="1:89" x14ac:dyDescent="0.2">
      <c r="A28" s="10"/>
      <c r="B28" s="1" t="s">
        <v>20</v>
      </c>
      <c r="C28" s="1">
        <v>-3.6316572844596502E-2</v>
      </c>
      <c r="D28" s="1">
        <v>-3.1884927054122471E-2</v>
      </c>
      <c r="E28" s="1">
        <v>-8.4958627182236943E-2</v>
      </c>
      <c r="F28" s="1">
        <v>-9.4606055203110398E-2</v>
      </c>
      <c r="G28" s="1">
        <v>-4.4433923037608958E-3</v>
      </c>
      <c r="H28" s="2">
        <v>0.12758846692917661</v>
      </c>
      <c r="I28" s="1">
        <v>0.102292484494966</v>
      </c>
      <c r="J28" s="1">
        <v>-1.6992283960251708E-2</v>
      </c>
      <c r="K28" s="1">
        <v>4.8661221355172903E-2</v>
      </c>
      <c r="L28" s="1">
        <v>-3.0750736563434312E-3</v>
      </c>
      <c r="M28" s="1">
        <v>-6.3710863267451026E-2</v>
      </c>
      <c r="N28" s="1">
        <v>-7.8814331882979427E-2</v>
      </c>
      <c r="O28" s="1">
        <v>-2.0450500600952E-2</v>
      </c>
      <c r="P28" s="1">
        <v>2.6554397241641801E-2</v>
      </c>
      <c r="Q28" s="1">
        <v>-6.4119112907180628E-2</v>
      </c>
      <c r="R28" s="1">
        <v>4.2511074042486337E-2</v>
      </c>
      <c r="S28" s="1">
        <v>-2.44660677852727E-3</v>
      </c>
      <c r="T28" s="1">
        <v>6.1993034978762157E-3</v>
      </c>
      <c r="U28" s="1">
        <v>4.8661221355172882E-2</v>
      </c>
      <c r="V28" s="1">
        <v>1.6787197516762619E-2</v>
      </c>
      <c r="W28" s="1">
        <v>3.5252549154588249E-3</v>
      </c>
      <c r="X28" s="1">
        <v>6.1496708368706313E-2</v>
      </c>
      <c r="Y28" s="1">
        <v>3.6326847662321783E-2</v>
      </c>
      <c r="Z28" s="1">
        <v>-9.4394772623512813E-2</v>
      </c>
      <c r="AA28" s="1">
        <v>4.9929365589212377E-2</v>
      </c>
      <c r="AB28" s="2">
        <v>0.15067882389774409</v>
      </c>
      <c r="AC28" s="1">
        <v>2.1395029160168218E-2</v>
      </c>
      <c r="AD28" s="1">
        <v>-6.4647354948660363E-3</v>
      </c>
      <c r="AE28" s="1">
        <v>8.5500384397519419E-2</v>
      </c>
      <c r="AF28" s="1">
        <v>-4.7790582221468793E-2</v>
      </c>
      <c r="AG28" s="1">
        <v>-6.8443665513777854E-2</v>
      </c>
      <c r="AH28" s="1">
        <v>-5.2295876932914043E-3</v>
      </c>
      <c r="AI28" s="1">
        <v>1.979053334060597E-2</v>
      </c>
      <c r="AJ28" s="1">
        <v>-1.6032891595086859E-4</v>
      </c>
      <c r="AK28" s="1">
        <v>5.301448385024924E-2</v>
      </c>
      <c r="AL28" s="1">
        <v>-3.7909574478808203E-2</v>
      </c>
      <c r="AM28" s="1">
        <v>3.6046268134490751E-2</v>
      </c>
      <c r="AN28" s="1">
        <v>1.9591099382610031E-2</v>
      </c>
      <c r="AO28" s="1">
        <v>-3.2140180430056127E-2</v>
      </c>
      <c r="AP28" s="1">
        <v>5.7179230656767527E-2</v>
      </c>
      <c r="AQ28" s="1">
        <v>4.1919304471697838E-2</v>
      </c>
      <c r="AR28" s="1">
        <v>5.6931822126310441E-2</v>
      </c>
      <c r="AS28" s="1">
        <v>-1.3708283209924101E-2</v>
      </c>
      <c r="AT28" s="1">
        <v>6.1587410414143368E-2</v>
      </c>
      <c r="AU28" s="1">
        <v>1.576419312382006E-3</v>
      </c>
      <c r="AV28" s="1">
        <v>9.3075042417476578E-3</v>
      </c>
      <c r="AW28" s="1">
        <v>5.4455068997976537E-2</v>
      </c>
      <c r="AX28" s="1">
        <v>6.5731793022991619E-2</v>
      </c>
      <c r="AY28" s="1">
        <v>1.264696271654221E-2</v>
      </c>
      <c r="AZ28" s="1">
        <v>-7.3009898235515874E-2</v>
      </c>
      <c r="BA28" s="1">
        <v>-4.6651793750012001E-2</v>
      </c>
      <c r="BB28" s="1">
        <v>-2.6141935126893511E-2</v>
      </c>
      <c r="BC28" s="1">
        <v>4.7641954082479308E-2</v>
      </c>
      <c r="BD28" s="1">
        <v>4.8547815827635558E-2</v>
      </c>
      <c r="BE28" s="2">
        <v>0.11927183556369481</v>
      </c>
      <c r="BF28" s="1">
        <v>6.1550651750564331E-2</v>
      </c>
      <c r="BG28" s="1">
        <v>6.5400170793765811E-2</v>
      </c>
      <c r="BH28" s="1">
        <v>3.9897940849482422E-2</v>
      </c>
      <c r="BI28" s="1">
        <v>-6.9698071967767755E-2</v>
      </c>
      <c r="BJ28" s="1">
        <v>0.1099776116041512</v>
      </c>
      <c r="BK28" s="1">
        <v>-4.5136228238152457E-2</v>
      </c>
      <c r="BL28" s="1">
        <v>5.1673910874900177E-2</v>
      </c>
      <c r="BM28" s="1">
        <v>2.2616703004597861E-4</v>
      </c>
      <c r="BN28" s="1">
        <v>-1.317704159283496E-2</v>
      </c>
      <c r="BO28" s="1">
        <v>8.7904834752671718E-2</v>
      </c>
      <c r="BP28" s="1">
        <v>-5.7334374677859921E-2</v>
      </c>
      <c r="BQ28" s="1">
        <v>9.0481444990371911E-3</v>
      </c>
      <c r="BR28" s="1">
        <v>2.1972429862934111E-2</v>
      </c>
      <c r="BS28" s="1">
        <v>-1.2857420501757821E-2</v>
      </c>
      <c r="BT28" s="1">
        <v>-8.6793149223929111E-2</v>
      </c>
      <c r="BU28" s="1">
        <v>0.11248956374786161</v>
      </c>
      <c r="BV28" s="1">
        <v>3.6119131429046228E-2</v>
      </c>
      <c r="BW28" s="1">
        <v>-5.2790268688627233E-2</v>
      </c>
      <c r="BX28" s="1">
        <v>-5.869462963323531E-2</v>
      </c>
      <c r="BY28" s="1">
        <v>5.4418527347528903E-2</v>
      </c>
      <c r="BZ28" s="2">
        <v>-0.14989322700263069</v>
      </c>
      <c r="CA28" s="2">
        <v>0.14106586640132801</v>
      </c>
      <c r="CB28" s="2">
        <v>0.59692678683499834</v>
      </c>
      <c r="CC28" s="2">
        <v>-0.50069743629098618</v>
      </c>
      <c r="CD28" s="1">
        <v>0.1002028368537719</v>
      </c>
      <c r="CE28" s="1">
        <v>-6.2900197675417741E-2</v>
      </c>
      <c r="CF28" s="1">
        <v>-3.8185772273525091E-2</v>
      </c>
      <c r="CG28" s="1">
        <v>5.0598490965840237E-2</v>
      </c>
      <c r="CH28" s="2">
        <v>-0.16857913565330221</v>
      </c>
      <c r="CI28" s="2">
        <v>0.174054886094519</v>
      </c>
      <c r="CJ28" s="2">
        <v>-0.14295514979993579</v>
      </c>
      <c r="CK28" s="1">
        <v>5.8124370682309363E-2</v>
      </c>
    </row>
    <row r="29" spans="1:89" x14ac:dyDescent="0.2">
      <c r="A29" s="10"/>
      <c r="B29" s="1" t="s">
        <v>21</v>
      </c>
      <c r="C29" s="1">
        <v>-2.2187562226706429E-2</v>
      </c>
      <c r="D29" s="1">
        <v>-9.930688198325521E-3</v>
      </c>
      <c r="E29" s="1">
        <v>-7.7914047250206092E-2</v>
      </c>
      <c r="F29" s="1">
        <v>3.808832229430438E-2</v>
      </c>
      <c r="G29" s="1">
        <v>-3.3055321214487073E-2</v>
      </c>
      <c r="H29" s="1">
        <v>4.8483207553446012E-2</v>
      </c>
      <c r="I29" s="2">
        <v>-0.22729533130646609</v>
      </c>
      <c r="J29" s="1">
        <v>5.1680781109249884E-3</v>
      </c>
      <c r="K29" s="1">
        <v>-2.851796393048011E-2</v>
      </c>
      <c r="L29" s="1">
        <v>9.4671282462567036E-2</v>
      </c>
      <c r="M29" s="1">
        <v>7.1409580932344494E-2</v>
      </c>
      <c r="N29" s="1">
        <v>4.7680677132198791E-2</v>
      </c>
      <c r="O29" s="1">
        <v>1.689705119674375E-2</v>
      </c>
      <c r="P29" s="1">
        <v>2.68647694330326E-2</v>
      </c>
      <c r="Q29" s="1">
        <v>0.1242545711392528</v>
      </c>
      <c r="R29" s="2">
        <v>0.1608246009946537</v>
      </c>
      <c r="S29" s="1">
        <v>-8.7593996456633447E-2</v>
      </c>
      <c r="T29" s="1">
        <v>7.7939867349631944E-2</v>
      </c>
      <c r="U29" s="1">
        <v>-2.8517963930480159E-2</v>
      </c>
      <c r="V29" s="1">
        <v>-8.648289746392035E-3</v>
      </c>
      <c r="W29" s="1">
        <v>-4.0630583391986913E-2</v>
      </c>
      <c r="X29" s="1">
        <v>-1.889495731228355E-2</v>
      </c>
      <c r="Y29" s="1">
        <v>-8.5093731683360721E-2</v>
      </c>
      <c r="Z29" s="1">
        <v>-2.0665257559784479E-2</v>
      </c>
      <c r="AA29" s="1">
        <v>-0.1267094208986618</v>
      </c>
      <c r="AB29" s="2">
        <v>-0.1537332786355825</v>
      </c>
      <c r="AC29" s="1">
        <v>-2.91637439391286E-3</v>
      </c>
      <c r="AD29" s="2">
        <v>0.13412493868478989</v>
      </c>
      <c r="AE29" s="1">
        <v>2.2474169337526329E-2</v>
      </c>
      <c r="AF29" s="1">
        <v>5.7943318235604826E-3</v>
      </c>
      <c r="AG29" s="1">
        <v>0.1092860038415123</v>
      </c>
      <c r="AH29" s="1">
        <v>-2.8569298352265959E-2</v>
      </c>
      <c r="AI29" s="1">
        <v>-7.9708253741338497E-2</v>
      </c>
      <c r="AJ29" s="1">
        <v>-5.0258870548452822E-2</v>
      </c>
      <c r="AK29" s="1">
        <v>2.4764751575520879E-2</v>
      </c>
      <c r="AL29" s="1">
        <v>5.5443868206978032E-2</v>
      </c>
      <c r="AM29" s="1">
        <v>-2.052030466842163E-2</v>
      </c>
      <c r="AN29" s="1">
        <v>-3.7442066384170501E-3</v>
      </c>
      <c r="AO29" s="1">
        <v>1.9633253938104941E-2</v>
      </c>
      <c r="AP29" s="1">
        <v>1.63526394219921E-2</v>
      </c>
      <c r="AQ29" s="1">
        <v>7.505870588663012E-3</v>
      </c>
      <c r="AR29" s="1">
        <v>2.914319410158972E-2</v>
      </c>
      <c r="AS29" s="1">
        <v>-2.3762285890852539E-3</v>
      </c>
      <c r="AT29" s="2">
        <v>-0.18535092320344859</v>
      </c>
      <c r="AU29" s="1">
        <v>6.0440339881919693E-2</v>
      </c>
      <c r="AV29" s="1">
        <v>-4.7403699541716048E-2</v>
      </c>
      <c r="AW29" s="1">
        <v>-5.8448077825807299E-3</v>
      </c>
      <c r="AX29" s="1">
        <v>9.1023237972204969E-3</v>
      </c>
      <c r="AY29" s="1">
        <v>9.2843040984434647E-2</v>
      </c>
      <c r="AZ29" s="1">
        <v>0.12307402728627891</v>
      </c>
      <c r="BA29" s="1">
        <v>4.7625278594541159E-2</v>
      </c>
      <c r="BB29" s="1">
        <v>-5.7240981352972529E-2</v>
      </c>
      <c r="BC29" s="1">
        <v>-9.189601882886464E-2</v>
      </c>
      <c r="BD29" s="1">
        <v>5.093776183169893E-2</v>
      </c>
      <c r="BE29" s="1">
        <v>7.6241237159559896E-2</v>
      </c>
      <c r="BF29" s="1">
        <v>5.4628260074784329E-2</v>
      </c>
      <c r="BG29" s="1">
        <v>-0.1107541508553279</v>
      </c>
      <c r="BH29" s="1">
        <v>-4.6302942390115023E-2</v>
      </c>
      <c r="BI29" s="1">
        <v>-2.596937598207821E-2</v>
      </c>
      <c r="BJ29" s="1">
        <v>7.4392018094287082E-2</v>
      </c>
      <c r="BK29" s="1">
        <v>-3.8811347787089237E-2</v>
      </c>
      <c r="BL29" s="1">
        <v>2.2923022342002108E-2</v>
      </c>
      <c r="BM29" s="1">
        <v>-9.5700498931005545E-2</v>
      </c>
      <c r="BN29" s="1">
        <v>-7.3785415207980792E-2</v>
      </c>
      <c r="BO29" s="2">
        <v>0.14429775115618701</v>
      </c>
      <c r="BP29" s="1">
        <v>-5.1401197448750817E-2</v>
      </c>
      <c r="BQ29" s="1">
        <v>-3.010743003836043E-2</v>
      </c>
      <c r="BR29" s="1">
        <v>-7.5579865921203082E-2</v>
      </c>
      <c r="BS29" s="1">
        <v>4.4959642835239851E-2</v>
      </c>
      <c r="BT29" s="2">
        <v>-0.40774306520383108</v>
      </c>
      <c r="BU29" s="2">
        <v>0.42103240136560482</v>
      </c>
      <c r="BV29" s="1">
        <v>-2.011919988185774E-2</v>
      </c>
      <c r="BW29" s="1">
        <v>-1.825021810111474E-2</v>
      </c>
      <c r="BX29" s="1">
        <v>0.1145555242816184</v>
      </c>
      <c r="BY29" s="1">
        <v>-6.2159084272686647E-2</v>
      </c>
      <c r="BZ29" s="1">
        <v>-3.306164233101426E-2</v>
      </c>
      <c r="CA29" s="1">
        <v>1.8312337603428579E-2</v>
      </c>
      <c r="CB29" s="1">
        <v>5.8198781414369301E-2</v>
      </c>
      <c r="CC29" s="1">
        <v>-3.0323954002454419E-2</v>
      </c>
      <c r="CD29" s="1">
        <v>-9.6968730475078216E-2</v>
      </c>
      <c r="CE29" s="1">
        <v>4.0671228796191991E-2</v>
      </c>
      <c r="CF29" s="1">
        <v>-0.11675710334652351</v>
      </c>
      <c r="CG29" s="1">
        <v>0.10931759782888439</v>
      </c>
      <c r="CH29" s="1">
        <v>1.6719087007509788E-2</v>
      </c>
      <c r="CI29" s="1">
        <v>-3.535643256474541E-4</v>
      </c>
      <c r="CJ29" s="2">
        <v>0.42559989886490612</v>
      </c>
      <c r="CK29" s="2">
        <v>-0.15335322881760599</v>
      </c>
    </row>
    <row r="30" spans="1:89" x14ac:dyDescent="0.2">
      <c r="A30" s="10"/>
      <c r="B30" s="1" t="s">
        <v>22</v>
      </c>
      <c r="C30" s="1">
        <v>1.1716281098636721E-2</v>
      </c>
      <c r="D30" s="1">
        <v>4.1814049753461008E-2</v>
      </c>
      <c r="E30" s="1">
        <v>8.3877639494157982E-2</v>
      </c>
      <c r="F30" s="1">
        <v>8.2417906977315408E-2</v>
      </c>
      <c r="G30" s="1">
        <v>1.4544424289585699E-2</v>
      </c>
      <c r="H30" s="1">
        <v>-0.1063108718507</v>
      </c>
      <c r="I30" s="1">
        <v>0.12140162824424711</v>
      </c>
      <c r="J30" s="1">
        <v>-1.967392616731576E-2</v>
      </c>
      <c r="K30" s="1">
        <v>1.7653389901570268E-2</v>
      </c>
      <c r="L30" s="1">
        <v>5.7993853502610819E-2</v>
      </c>
      <c r="M30" s="1">
        <v>3.6928941176558712E-2</v>
      </c>
      <c r="N30" s="1">
        <v>5.7088003658823092E-2</v>
      </c>
      <c r="O30" s="1">
        <v>9.5426030083751084E-2</v>
      </c>
      <c r="P30" s="1">
        <v>2.6883851891613741E-2</v>
      </c>
      <c r="Q30" s="1">
        <v>3.048442544029718E-2</v>
      </c>
      <c r="R30" s="1">
        <v>0.13364109690679171</v>
      </c>
      <c r="S30" s="1">
        <v>2.7412527320523489E-2</v>
      </c>
      <c r="T30" s="1">
        <v>7.1391423421632919E-3</v>
      </c>
      <c r="U30" s="1">
        <v>1.7653389901570251E-2</v>
      </c>
      <c r="V30" s="1">
        <v>1.443188642580479E-2</v>
      </c>
      <c r="W30" s="1">
        <v>1.713359042656637E-2</v>
      </c>
      <c r="X30" s="1">
        <v>5.5666986777462846E-3</v>
      </c>
      <c r="Y30" s="1">
        <v>0.1246010923214259</v>
      </c>
      <c r="Z30" s="1">
        <v>9.7487930921442881E-2</v>
      </c>
      <c r="AA30" s="1">
        <v>-1.109616329665096E-2</v>
      </c>
      <c r="AB30" s="1">
        <v>0.1159183435199536</v>
      </c>
      <c r="AC30" s="1">
        <v>-4.1142930934114662E-2</v>
      </c>
      <c r="AD30" s="1">
        <v>-2.8351655709171749E-2</v>
      </c>
      <c r="AE30" s="1">
        <v>-6.1438645043228018E-2</v>
      </c>
      <c r="AF30" s="1">
        <v>-7.5608222973226877E-2</v>
      </c>
      <c r="AG30" s="1">
        <v>-4.8152346738030177E-2</v>
      </c>
      <c r="AH30" s="1">
        <v>1.253557562598556E-2</v>
      </c>
      <c r="AI30" s="1">
        <v>9.6291097428346968E-3</v>
      </c>
      <c r="AJ30" s="1">
        <v>4.2572712556130481E-2</v>
      </c>
      <c r="AK30" s="1">
        <v>9.8290375666481751E-3</v>
      </c>
      <c r="AL30" s="1">
        <v>7.8895676639564566E-2</v>
      </c>
      <c r="AM30" s="1">
        <v>6.0498061516093757E-2</v>
      </c>
      <c r="AN30" s="1">
        <v>-4.6232959771782357E-2</v>
      </c>
      <c r="AO30" s="1">
        <v>-6.8215368057228748E-2</v>
      </c>
      <c r="AP30" s="1">
        <v>4.1100876086209152E-2</v>
      </c>
      <c r="AQ30" s="1">
        <v>-9.7542603855350601E-2</v>
      </c>
      <c r="AR30" s="1">
        <v>5.514828207349938E-2</v>
      </c>
      <c r="AS30" s="1">
        <v>4.7048489939568582E-2</v>
      </c>
      <c r="AT30" s="1">
        <v>-3.4747705792622569E-2</v>
      </c>
      <c r="AU30" s="1">
        <v>-2.6833193163559959E-2</v>
      </c>
      <c r="AV30" s="1">
        <v>5.3594973142337063E-2</v>
      </c>
      <c r="AW30" s="1">
        <v>0.112165536356347</v>
      </c>
      <c r="AX30" s="1">
        <v>-8.4710502578940576E-3</v>
      </c>
      <c r="AY30" s="1">
        <v>-1.0123833266359E-2</v>
      </c>
      <c r="AZ30" s="1">
        <v>3.845635077000979E-3</v>
      </c>
      <c r="BA30" s="1">
        <v>-0.10145578364541311</v>
      </c>
      <c r="BB30" s="1">
        <v>3.6095240481970589E-2</v>
      </c>
      <c r="BC30" s="1">
        <v>-2.0542857247767471E-2</v>
      </c>
      <c r="BD30" s="2">
        <v>-0.19260203510995319</v>
      </c>
      <c r="BE30" s="2">
        <v>0.1650853061755197</v>
      </c>
      <c r="BF30" s="1">
        <v>0.13010971007393421</v>
      </c>
      <c r="BG30" s="2">
        <v>0.1803683414680865</v>
      </c>
      <c r="BH30" s="2">
        <v>0.14010549553618501</v>
      </c>
      <c r="BI30" s="1">
        <v>0.12058061135192689</v>
      </c>
      <c r="BJ30" s="1">
        <v>0.10430111186985409</v>
      </c>
      <c r="BK30" s="1">
        <v>2.381959652329314E-2</v>
      </c>
      <c r="BL30" s="1">
        <v>-2.1322201432185339E-2</v>
      </c>
      <c r="BM30" s="1">
        <v>6.2440862804042423E-2</v>
      </c>
      <c r="BN30" s="1">
        <v>7.6582239587300857E-2</v>
      </c>
      <c r="BO30" s="1">
        <v>9.9150481082129746E-2</v>
      </c>
      <c r="BP30" s="2">
        <v>-0.1870228699979932</v>
      </c>
      <c r="BQ30" s="1">
        <v>-5.6597340949111702E-2</v>
      </c>
      <c r="BR30" s="2">
        <v>0.13819601340098919</v>
      </c>
      <c r="BS30" s="1">
        <v>-7.4095601080598039E-2</v>
      </c>
      <c r="BT30" s="2">
        <v>-0.24633750377264849</v>
      </c>
      <c r="BU30" s="2">
        <v>0.24803851653523751</v>
      </c>
      <c r="BV30" s="1">
        <v>-0.11778017463397029</v>
      </c>
      <c r="BW30" s="1">
        <v>0.1144944383082963</v>
      </c>
      <c r="BX30" s="1">
        <v>7.9519675674754847E-2</v>
      </c>
      <c r="BY30" s="1">
        <v>-2.6163292513623721E-2</v>
      </c>
      <c r="BZ30" s="1">
        <v>9.7921628377758654E-2</v>
      </c>
      <c r="CA30" s="1">
        <v>-9.2408103776034312E-2</v>
      </c>
      <c r="CB30" s="1">
        <v>-2.814994199572415E-2</v>
      </c>
      <c r="CC30" s="1">
        <v>-2.3831101174261529E-3</v>
      </c>
      <c r="CD30" s="1">
        <v>-2.196544420505827E-2</v>
      </c>
      <c r="CE30" s="1">
        <v>-1.648811147698712E-2</v>
      </c>
      <c r="CF30" s="2">
        <v>0.4675996091279897</v>
      </c>
      <c r="CG30" s="2">
        <v>-0.35901662947047119</v>
      </c>
      <c r="CH30" s="1">
        <v>8.0904999940750913E-2</v>
      </c>
      <c r="CI30" s="1">
        <v>-0.1094418965035113</v>
      </c>
      <c r="CJ30" s="1">
        <v>-0.1228401680343077</v>
      </c>
      <c r="CK30" s="1">
        <v>4.5098513608506349E-2</v>
      </c>
    </row>
    <row r="31" spans="1:89" x14ac:dyDescent="0.2">
      <c r="A31" s="10"/>
      <c r="B31" s="1" t="s">
        <v>23</v>
      </c>
      <c r="C31" s="1">
        <v>-0.11853290772810129</v>
      </c>
      <c r="D31" s="1">
        <v>1.936718599414069E-3</v>
      </c>
      <c r="E31" s="1">
        <v>8.0448530986279951E-2</v>
      </c>
      <c r="F31" s="1">
        <v>-3.4949715601118862E-2</v>
      </c>
      <c r="G31" s="1">
        <v>-7.2943837769047781E-3</v>
      </c>
      <c r="H31" s="2">
        <v>0.21488499747743231</v>
      </c>
      <c r="I31" s="1">
        <v>0.1218732638883939</v>
      </c>
      <c r="J31" s="1">
        <v>3.3602352164213263E-2</v>
      </c>
      <c r="K31" s="1">
        <v>-1.968298731873652E-4</v>
      </c>
      <c r="L31" s="1">
        <v>-1.474307392393427E-2</v>
      </c>
      <c r="M31" s="1">
        <v>-4.0331318620486258E-2</v>
      </c>
      <c r="N31" s="1">
        <v>3.1360752736680868E-2</v>
      </c>
      <c r="O31" s="1">
        <v>4.5614915783923321E-2</v>
      </c>
      <c r="P31" s="1">
        <v>-8.6104012912739059E-2</v>
      </c>
      <c r="Q31" s="1">
        <v>1.2354234070942631E-2</v>
      </c>
      <c r="R31" s="1">
        <v>-2.968297772105585E-2</v>
      </c>
      <c r="S31" s="1">
        <v>1.7407723291703151E-2</v>
      </c>
      <c r="T31" s="1">
        <v>-2.6224771009409561E-2</v>
      </c>
      <c r="U31" s="1">
        <v>-1.9682987318724729E-4</v>
      </c>
      <c r="V31" s="1">
        <v>-8.0734317443393544E-2</v>
      </c>
      <c r="W31" s="1">
        <v>-4.457468732611404E-2</v>
      </c>
      <c r="X31" s="1">
        <v>-1.730444536505138E-2</v>
      </c>
      <c r="Y31" s="1">
        <v>-3.6267133454925521E-2</v>
      </c>
      <c r="Z31" s="1">
        <v>1.80109653233218E-2</v>
      </c>
      <c r="AA31" s="1">
        <v>1.1008842278737019E-2</v>
      </c>
      <c r="AB31" s="1">
        <v>0.12432412205737201</v>
      </c>
      <c r="AC31" s="1">
        <v>2.5687844579610899E-2</v>
      </c>
      <c r="AD31" s="1">
        <v>5.3719598218149589E-3</v>
      </c>
      <c r="AE31" s="1">
        <v>-1.7830925865950718E-2</v>
      </c>
      <c r="AF31" s="1">
        <v>-3.1969063772693471E-2</v>
      </c>
      <c r="AG31" s="1">
        <v>-4.8765376819372007E-2</v>
      </c>
      <c r="AH31" s="1">
        <v>-1.7268129518738681E-2</v>
      </c>
      <c r="AI31" s="1">
        <v>-6.6192504744357908E-2</v>
      </c>
      <c r="AJ31" s="1">
        <v>5.067625478964248E-2</v>
      </c>
      <c r="AK31" s="1">
        <v>5.6067565952925863E-2</v>
      </c>
      <c r="AL31" s="1">
        <v>-7.5901223335720497E-2</v>
      </c>
      <c r="AM31" s="1">
        <v>-6.240806031343455E-2</v>
      </c>
      <c r="AN31" s="1">
        <v>-1.093887986916138E-2</v>
      </c>
      <c r="AO31" s="1">
        <v>5.9791168993601887E-2</v>
      </c>
      <c r="AP31" s="1">
        <v>-7.9379457141711164E-3</v>
      </c>
      <c r="AQ31" s="1">
        <v>0.13895433780440331</v>
      </c>
      <c r="AR31" s="1">
        <v>-2.2450688810783749E-2</v>
      </c>
      <c r="AS31" s="1">
        <v>-3.4042985303881133E-2</v>
      </c>
      <c r="AT31" s="1">
        <v>-5.5077608800720313E-3</v>
      </c>
      <c r="AU31" s="1">
        <v>0.13720184004506769</v>
      </c>
      <c r="AV31" s="1">
        <v>-1.7576100833779031E-3</v>
      </c>
      <c r="AW31" s="1">
        <v>-6.7367038073420024E-2</v>
      </c>
      <c r="AX31" s="1">
        <v>-0.11821393738323679</v>
      </c>
      <c r="AY31" s="2">
        <v>-0.14398624864862211</v>
      </c>
      <c r="AZ31" s="1">
        <v>0.1240866119494512</v>
      </c>
      <c r="BA31" s="1">
        <v>-3.0816113497352301E-2</v>
      </c>
      <c r="BB31" s="1">
        <v>-5.1953121825674568E-2</v>
      </c>
      <c r="BC31" s="1">
        <v>5.6214154191606518E-2</v>
      </c>
      <c r="BD31" s="1">
        <v>7.3587499614353652E-2</v>
      </c>
      <c r="BE31" s="1">
        <v>2.1370439737885091E-2</v>
      </c>
      <c r="BF31" s="1">
        <v>3.9834337754136844E-3</v>
      </c>
      <c r="BG31" s="1">
        <v>9.6231610135237997E-2</v>
      </c>
      <c r="BH31" s="1">
        <v>9.4344478614256141E-2</v>
      </c>
      <c r="BI31" s="1">
        <v>0.1322825153526164</v>
      </c>
      <c r="BJ31" s="1">
        <v>5.0154416976993209E-2</v>
      </c>
      <c r="BK31" s="2">
        <v>0.1428943189674565</v>
      </c>
      <c r="BL31" s="1">
        <v>-3.1771624397974027E-2</v>
      </c>
      <c r="BM31" s="1">
        <v>-6.3832403330683865E-2</v>
      </c>
      <c r="BN31" s="1">
        <v>1.2669596345668039E-2</v>
      </c>
      <c r="BO31" s="1">
        <v>2.074114598280935E-2</v>
      </c>
      <c r="BP31" s="1">
        <v>6.0089397102519863E-2</v>
      </c>
      <c r="BQ31" s="1">
        <v>4.3763592470044479E-2</v>
      </c>
      <c r="BR31" s="1">
        <v>2.5121504482980828E-2</v>
      </c>
      <c r="BS31" s="1">
        <v>-1.319678035565653E-2</v>
      </c>
      <c r="BT31" s="2">
        <v>-0.1938906736314083</v>
      </c>
      <c r="BU31" s="2">
        <v>0.19707680724924159</v>
      </c>
      <c r="BV31" s="1">
        <v>-0.1145828517780718</v>
      </c>
      <c r="BW31" s="1">
        <v>0.13643984405360149</v>
      </c>
      <c r="BX31" s="1">
        <v>-0.10037336272057699</v>
      </c>
      <c r="BY31" s="1">
        <v>4.4728638508490388E-4</v>
      </c>
      <c r="BZ31" s="2">
        <v>0.38842052674882499</v>
      </c>
      <c r="CA31" s="2">
        <v>-0.33125726960743412</v>
      </c>
      <c r="CB31" s="1">
        <v>-4.0790995384365841E-2</v>
      </c>
      <c r="CC31" s="1">
        <v>-7.9113179854680554E-3</v>
      </c>
      <c r="CD31" s="1">
        <v>9.0200339758655414E-3</v>
      </c>
      <c r="CE31" s="1">
        <v>-4.1978977029064578E-2</v>
      </c>
      <c r="CF31" s="2">
        <v>-0.33232784294977269</v>
      </c>
      <c r="CG31" s="2">
        <v>0.26076739980190661</v>
      </c>
      <c r="CH31" s="1">
        <v>0.1024990283999736</v>
      </c>
      <c r="CI31" s="1">
        <v>-6.6782267790297015E-2</v>
      </c>
      <c r="CJ31" s="2">
        <v>-0.28839185951856389</v>
      </c>
      <c r="CK31" s="1">
        <v>0.1034002838412829</v>
      </c>
    </row>
    <row r="32" spans="1:89" x14ac:dyDescent="0.2">
      <c r="A32" s="10"/>
      <c r="B32" s="1" t="s">
        <v>24</v>
      </c>
      <c r="C32" s="1">
        <v>-0.1026756559009963</v>
      </c>
      <c r="D32" s="1">
        <v>6.9335711681305909E-2</v>
      </c>
      <c r="E32" s="1">
        <v>0.13079779443793851</v>
      </c>
      <c r="F32" s="1">
        <v>-1.7099747254692289E-3</v>
      </c>
      <c r="G32" s="1">
        <v>-5.1160840326582016E-3</v>
      </c>
      <c r="H32" s="1">
        <v>9.2185689458477382E-2</v>
      </c>
      <c r="I32" s="1">
        <v>-4.3724891222432387E-2</v>
      </c>
      <c r="J32" s="1">
        <v>3.8843870225360587E-2</v>
      </c>
      <c r="K32" s="1">
        <v>3.6437321506899947E-2</v>
      </c>
      <c r="L32" s="1">
        <v>2.5474064482030271E-2</v>
      </c>
      <c r="M32" s="1">
        <v>8.3724066442644268E-2</v>
      </c>
      <c r="N32" s="1">
        <v>-3.0105922136567459E-2</v>
      </c>
      <c r="O32" s="1">
        <v>8.3242690313178797E-2</v>
      </c>
      <c r="P32" s="1">
        <v>-3.2007036273742302E-2</v>
      </c>
      <c r="Q32" s="1">
        <v>-3.1405949885180827E-2</v>
      </c>
      <c r="R32" s="1">
        <v>8.7385450470960357E-2</v>
      </c>
      <c r="S32" s="1">
        <v>2.984499803319907E-2</v>
      </c>
      <c r="T32" s="1">
        <v>-5.1583074232210507E-2</v>
      </c>
      <c r="U32" s="1">
        <v>3.6437321506899933E-2</v>
      </c>
      <c r="V32" s="1">
        <v>-1.6452326406345499E-2</v>
      </c>
      <c r="W32" s="1">
        <v>-1.124128001428204E-2</v>
      </c>
      <c r="X32" s="1">
        <v>-3.9708270395044563E-2</v>
      </c>
      <c r="Y32" s="1">
        <v>-6.2248161718019279E-2</v>
      </c>
      <c r="Z32" s="1">
        <v>5.5910113891028783E-2</v>
      </c>
      <c r="AA32" s="1">
        <v>5.5508396112518683E-2</v>
      </c>
      <c r="AB32" s="1">
        <v>-3.4140101431034959E-3</v>
      </c>
      <c r="AC32" s="1">
        <v>3.7075034399599749E-2</v>
      </c>
      <c r="AD32" s="1">
        <v>-1.7771391266780009E-2</v>
      </c>
      <c r="AE32" s="1">
        <v>9.5572514749648591E-2</v>
      </c>
      <c r="AF32" s="1">
        <v>0.1049370490829689</v>
      </c>
      <c r="AG32" s="1">
        <v>4.6701819157219097E-2</v>
      </c>
      <c r="AH32" s="1">
        <v>3.6072234226303119E-3</v>
      </c>
      <c r="AI32" s="1">
        <v>-5.2269331972248152E-2</v>
      </c>
      <c r="AJ32" s="1">
        <v>-3.9809743638953607E-2</v>
      </c>
      <c r="AK32" s="1">
        <v>1.7783725455458779E-2</v>
      </c>
      <c r="AL32" s="1">
        <v>-3.5746699543707391E-2</v>
      </c>
      <c r="AM32" s="1">
        <v>-9.1543284333293215E-2</v>
      </c>
      <c r="AN32" s="1">
        <v>-4.093327145362885E-2</v>
      </c>
      <c r="AO32" s="1">
        <v>8.3214670572759289E-2</v>
      </c>
      <c r="AP32" s="1">
        <v>3.3523537327856998E-2</v>
      </c>
      <c r="AQ32" s="1">
        <v>0.1236706715395412</v>
      </c>
      <c r="AR32" s="1">
        <v>-1.9186508950300139E-2</v>
      </c>
      <c r="AS32" s="1">
        <v>1.651759631221774E-2</v>
      </c>
      <c r="AT32" s="1">
        <v>-6.1850625280140487E-2</v>
      </c>
      <c r="AU32" s="1">
        <v>3.305372814846657E-2</v>
      </c>
      <c r="AV32" s="1">
        <v>-3.335441212844676E-2</v>
      </c>
      <c r="AW32" s="1">
        <v>-5.7168488196309993E-2</v>
      </c>
      <c r="AX32" s="1">
        <v>8.2165596636652946E-2</v>
      </c>
      <c r="AY32" s="1">
        <v>-5.8407151834298253E-2</v>
      </c>
      <c r="AZ32" s="1">
        <v>9.2826152137735568E-2</v>
      </c>
      <c r="BA32" s="1">
        <v>-8.2785991139148002E-2</v>
      </c>
      <c r="BB32" s="1">
        <v>-1.0156185774214441E-2</v>
      </c>
      <c r="BC32" s="1">
        <v>8.4875463706737639E-2</v>
      </c>
      <c r="BD32" s="2">
        <v>-0.17783933181871281</v>
      </c>
      <c r="BE32" s="2">
        <v>-0.24515289485803071</v>
      </c>
      <c r="BF32" s="1">
        <v>-1.1579721620073121E-2</v>
      </c>
      <c r="BG32" s="2">
        <v>0.22385475735172469</v>
      </c>
      <c r="BH32" s="2">
        <v>0.21987251323928619</v>
      </c>
      <c r="BI32" s="2">
        <v>0.4448721662444533</v>
      </c>
      <c r="BJ32" s="1">
        <v>-0.15952822813940559</v>
      </c>
      <c r="BK32" s="1">
        <v>9.275489549073504E-2</v>
      </c>
      <c r="BL32" s="1">
        <v>-3.9186371971742483E-2</v>
      </c>
      <c r="BM32" s="1">
        <v>2.8740466395332152E-2</v>
      </c>
      <c r="BN32" s="1">
        <v>6.9870657467128616E-2</v>
      </c>
      <c r="BO32" s="2">
        <v>-0.2152964965866786</v>
      </c>
      <c r="BP32" s="1">
        <v>7.3320770268919574E-2</v>
      </c>
      <c r="BQ32" s="1">
        <v>-5.9244381197751009E-2</v>
      </c>
      <c r="BR32" s="1">
        <v>0.1468465538422164</v>
      </c>
      <c r="BS32" s="1">
        <v>-8.412980842066782E-2</v>
      </c>
      <c r="BT32" s="1">
        <v>1.272704048549019E-2</v>
      </c>
      <c r="BU32" s="1">
        <v>-3.5716635096068698E-3</v>
      </c>
      <c r="BV32" s="1">
        <v>-0.1609261147485517</v>
      </c>
      <c r="BW32" s="1">
        <v>0.16452154429384699</v>
      </c>
      <c r="BX32" s="1">
        <v>8.5317134650553877E-2</v>
      </c>
      <c r="BY32" s="1">
        <v>-1.881220985068582E-2</v>
      </c>
      <c r="BZ32" s="2">
        <v>-0.21520292942888691</v>
      </c>
      <c r="CA32" s="2">
        <v>0.16580370400513331</v>
      </c>
      <c r="CB32" s="1">
        <v>2.3813232393248659E-2</v>
      </c>
      <c r="CC32" s="1">
        <v>-3.024081101005369E-2</v>
      </c>
      <c r="CD32" s="1">
        <v>-0.12932239480160559</v>
      </c>
      <c r="CE32" s="1">
        <v>0.1075743949677114</v>
      </c>
      <c r="CF32" s="1">
        <v>-2.2735147545877819E-2</v>
      </c>
      <c r="CG32" s="1">
        <v>2.4469459133517609E-2</v>
      </c>
      <c r="CH32" s="2">
        <v>-0.2317243766819658</v>
      </c>
      <c r="CI32" s="2">
        <v>0.21849506442410499</v>
      </c>
      <c r="CJ32" s="1">
        <v>0.1500140555158635</v>
      </c>
      <c r="CK32" s="1">
        <v>-5.6089658934910788E-2</v>
      </c>
    </row>
    <row r="34" spans="1:89" x14ac:dyDescent="0.2">
      <c r="A34" s="10" t="s">
        <v>9</v>
      </c>
      <c r="B34" s="1" t="s">
        <v>0</v>
      </c>
      <c r="C34" s="1">
        <v>-4.0200021092800707E-2</v>
      </c>
      <c r="D34" s="1">
        <v>-3.3344903574671507E-2</v>
      </c>
      <c r="E34" s="1">
        <v>-2.2767892527374101E-2</v>
      </c>
      <c r="F34" s="1">
        <v>-8.8407656904273491E-2</v>
      </c>
      <c r="G34" s="2">
        <v>-0.17315036900413211</v>
      </c>
      <c r="H34" s="1">
        <v>-0.10268687256341311</v>
      </c>
      <c r="I34" s="1">
        <v>-9.0440054161246911E-2</v>
      </c>
      <c r="J34" s="1">
        <v>-0.10373918712387301</v>
      </c>
      <c r="K34" s="2">
        <v>-0.2803261176636162</v>
      </c>
      <c r="L34" s="2">
        <v>0.14055605553723749</v>
      </c>
      <c r="M34" s="2">
        <v>-0.1644950986366833</v>
      </c>
      <c r="N34" s="1">
        <v>-4.4740034829181499E-2</v>
      </c>
      <c r="O34" s="1">
        <v>-7.6833329716718815E-2</v>
      </c>
      <c r="P34" s="1">
        <v>4.1704476250050811E-2</v>
      </c>
      <c r="Q34" s="2">
        <v>-0.28539250199219529</v>
      </c>
      <c r="R34" s="1">
        <v>7.859934108587611E-4</v>
      </c>
      <c r="S34" s="1">
        <v>-0.11291244254466019</v>
      </c>
      <c r="T34" s="1">
        <v>9.0531097836712385E-2</v>
      </c>
      <c r="U34" s="2">
        <v>-0.2803261176636162</v>
      </c>
      <c r="V34" s="1">
        <v>4.7998884599768449E-2</v>
      </c>
      <c r="W34" s="1">
        <v>-8.3473164475629191E-2</v>
      </c>
      <c r="X34" s="1">
        <v>0.12752361803967349</v>
      </c>
      <c r="Y34" s="1">
        <v>-1.519362128221882E-2</v>
      </c>
      <c r="Z34" s="2">
        <v>0.51544589990597034</v>
      </c>
      <c r="AA34" s="2">
        <v>0.38746109027946068</v>
      </c>
      <c r="AB34" s="1">
        <v>-4.0477269274874772E-2</v>
      </c>
      <c r="AC34" s="1">
        <v>-8.8001246909383851E-2</v>
      </c>
      <c r="AD34" s="1">
        <v>5.9658851930328931E-2</v>
      </c>
      <c r="AE34" s="1">
        <v>-0.1038351214262081</v>
      </c>
      <c r="AF34" s="1">
        <v>-5.4499456998105822E-2</v>
      </c>
      <c r="AG34" s="1">
        <v>-4.9628485201039123E-2</v>
      </c>
      <c r="AH34" s="1">
        <v>-1.310409404563774E-2</v>
      </c>
      <c r="AI34" s="1">
        <v>5.8622539315669991E-2</v>
      </c>
      <c r="AJ34" s="1">
        <v>7.4633163182063353E-2</v>
      </c>
      <c r="AK34" s="1">
        <v>4.0081245309579877E-3</v>
      </c>
      <c r="AL34" s="1">
        <v>-3.013435522311779E-2</v>
      </c>
      <c r="AM34" s="1">
        <v>-6.0665772917252577E-3</v>
      </c>
      <c r="AN34" s="1">
        <v>3.9392868843175451E-2</v>
      </c>
      <c r="AO34" s="1">
        <v>1.311099613155875E-2</v>
      </c>
      <c r="AP34" s="1">
        <v>6.5769859716974299E-2</v>
      </c>
      <c r="AQ34" s="1">
        <v>0.10953857522320599</v>
      </c>
      <c r="AR34" s="1">
        <v>-4.2688380660396343E-3</v>
      </c>
      <c r="AS34" s="1">
        <v>5.83650443839096E-3</v>
      </c>
      <c r="AT34" s="1">
        <v>-0.10722923216917481</v>
      </c>
      <c r="AU34" s="1">
        <v>9.6732923191815944E-3</v>
      </c>
      <c r="AV34" s="2">
        <v>0.1436327631422934</v>
      </c>
      <c r="AW34" s="1">
        <v>5.3873781724458599E-4</v>
      </c>
      <c r="AX34" s="1">
        <v>1.6706640918635361E-2</v>
      </c>
      <c r="AY34" s="1">
        <v>3.0818158122725269E-2</v>
      </c>
      <c r="AZ34" s="1">
        <v>8.659051891943241E-2</v>
      </c>
      <c r="BA34" s="1">
        <v>-3.8286039915175027E-2</v>
      </c>
      <c r="BB34" s="1">
        <v>-9.0328870812615036E-2</v>
      </c>
      <c r="BC34" s="1">
        <v>-4.9260413172021247E-2</v>
      </c>
      <c r="BD34" s="1">
        <v>-2.5208843330562881E-2</v>
      </c>
      <c r="BE34" s="1">
        <v>-1.9945454076086111E-2</v>
      </c>
      <c r="BF34" s="1">
        <v>-1.612672771612883E-2</v>
      </c>
      <c r="BG34" s="1">
        <v>-1.6191737017223571E-3</v>
      </c>
      <c r="BH34" s="1">
        <v>5.9469030303650966E-3</v>
      </c>
      <c r="BI34" s="1">
        <v>-5.8127659270914048E-4</v>
      </c>
      <c r="BJ34" s="1">
        <v>-2.2147521804059898E-2</v>
      </c>
      <c r="BK34" s="1">
        <v>0.1051492976228393</v>
      </c>
      <c r="BL34" s="2">
        <v>0.13406457115360981</v>
      </c>
      <c r="BM34" s="1">
        <v>-0.1222805842069478</v>
      </c>
      <c r="BN34" s="1">
        <v>-4.7433678412367751E-2</v>
      </c>
      <c r="BO34" s="1">
        <v>4.2068950248680632E-2</v>
      </c>
      <c r="BP34" s="1">
        <v>-1.4844038311841549E-3</v>
      </c>
      <c r="BQ34" s="1">
        <v>1.705555025861432E-2</v>
      </c>
      <c r="BR34" s="1">
        <v>4.4909113763630097E-2</v>
      </c>
      <c r="BS34" s="1">
        <v>-1.8776971308673038E-2</v>
      </c>
      <c r="BT34" s="1">
        <v>2.9038584621400309E-2</v>
      </c>
      <c r="BU34" s="1">
        <v>-2.5852196853774261E-2</v>
      </c>
      <c r="BV34" s="1">
        <v>1.873478210756567E-2</v>
      </c>
      <c r="BW34" s="1">
        <v>-2.1366062220947338E-2</v>
      </c>
      <c r="BX34" s="1">
        <v>2.3413505787315079E-2</v>
      </c>
      <c r="BY34" s="1">
        <v>-1.2843381264615671E-2</v>
      </c>
      <c r="BZ34" s="1">
        <v>2.6080650312438652E-2</v>
      </c>
      <c r="CA34" s="1">
        <v>-1.9776749544552469E-2</v>
      </c>
      <c r="CB34" s="1">
        <v>4.5824306730629948E-2</v>
      </c>
      <c r="CC34" s="1">
        <v>-3.3907664948808217E-2</v>
      </c>
      <c r="CD34" s="1">
        <v>1.6499284206065772E-2</v>
      </c>
      <c r="CE34" s="1">
        <v>-5.1681800026986526E-3</v>
      </c>
      <c r="CF34" s="1">
        <v>8.6991692733040422E-3</v>
      </c>
      <c r="CG34" s="1">
        <v>4.3145714471859572E-3</v>
      </c>
      <c r="CH34" s="1">
        <v>7.2592175185398336E-3</v>
      </c>
      <c r="CI34" s="1">
        <v>4.2604351929346048E-3</v>
      </c>
      <c r="CJ34" s="1">
        <v>3.2800275975416092E-2</v>
      </c>
      <c r="CK34" s="1">
        <v>-9.9754206688408408E-3</v>
      </c>
    </row>
    <row r="35" spans="1:89" x14ac:dyDescent="0.2">
      <c r="A35" s="10"/>
      <c r="B35" s="1" t="s">
        <v>1</v>
      </c>
      <c r="C35" s="1">
        <v>-8.4940933199852964E-2</v>
      </c>
      <c r="D35" s="1">
        <v>0.1018471710509377</v>
      </c>
      <c r="E35" s="1">
        <v>8.3295683803165557E-2</v>
      </c>
      <c r="F35" s="1">
        <v>-4.2436834848235572E-2</v>
      </c>
      <c r="G35" s="1">
        <v>-0.1073893839922567</v>
      </c>
      <c r="H35" s="2">
        <v>-0.32171021641840603</v>
      </c>
      <c r="I35" s="2">
        <v>0.33018789121434722</v>
      </c>
      <c r="J35" s="2">
        <v>0.30512398177133532</v>
      </c>
      <c r="K35" s="1">
        <v>1.613285376179651E-2</v>
      </c>
      <c r="L35" s="1">
        <v>-7.2684989198729399E-2</v>
      </c>
      <c r="M35" s="1">
        <v>-0.14870638635831199</v>
      </c>
      <c r="N35" s="1">
        <v>-0.13426619480281049</v>
      </c>
      <c r="O35" s="1">
        <v>8.4411370426889828E-2</v>
      </c>
      <c r="P35" s="1">
        <v>-0.13379191161606621</v>
      </c>
      <c r="Q35" s="1">
        <v>1.416275649284831E-3</v>
      </c>
      <c r="R35" s="1">
        <v>-0.1292371246356625</v>
      </c>
      <c r="S35" s="2">
        <v>-0.22220067149691311</v>
      </c>
      <c r="T35" s="1">
        <v>5.0244446292136223E-2</v>
      </c>
      <c r="U35" s="1">
        <v>1.6132853761796451E-2</v>
      </c>
      <c r="V35" s="1">
        <v>-8.6179206991334231E-2</v>
      </c>
      <c r="W35" s="1">
        <v>-0.13052455324769779</v>
      </c>
      <c r="X35" s="1">
        <v>1.5951284021018228E-2</v>
      </c>
      <c r="Y35" s="1">
        <v>-4.1947592297665363E-2</v>
      </c>
      <c r="Z35" s="1">
        <v>-3.1782989004050848E-2</v>
      </c>
      <c r="AA35" s="1">
        <v>-2.4474358350680629E-2</v>
      </c>
      <c r="AB35" s="2">
        <v>0.25182557095648039</v>
      </c>
      <c r="AC35" s="1">
        <v>0.12967156458829601</v>
      </c>
      <c r="AD35" s="2">
        <v>0.20103572481684009</v>
      </c>
      <c r="AE35" s="2">
        <v>0.17922739827315379</v>
      </c>
      <c r="AF35" s="1">
        <v>0.13931445453337979</v>
      </c>
      <c r="AG35" s="1">
        <v>0.13734613754412309</v>
      </c>
      <c r="AH35" s="1">
        <v>5.4395585998910853E-2</v>
      </c>
      <c r="AI35" s="2">
        <v>-0.20577427641368989</v>
      </c>
      <c r="AJ35" s="2">
        <v>-0.17456653585543019</v>
      </c>
      <c r="AK35" s="1">
        <v>1.401441412302726E-2</v>
      </c>
      <c r="AL35" s="1">
        <v>3.966831708386407E-2</v>
      </c>
      <c r="AM35" s="1">
        <v>8.5269327569348088E-2</v>
      </c>
      <c r="AN35" s="1">
        <v>2.9121697574202871E-3</v>
      </c>
      <c r="AO35" s="1">
        <v>-8.3864870885593426E-2</v>
      </c>
      <c r="AP35" s="1">
        <v>0.16407220975195369</v>
      </c>
      <c r="AQ35" s="1">
        <v>4.5651813154616028E-2</v>
      </c>
      <c r="AR35" s="1">
        <v>6.8226215725564462E-2</v>
      </c>
      <c r="AS35" s="1">
        <v>1.9787286566987782E-3</v>
      </c>
      <c r="AT35" s="1">
        <v>-8.6555015284134465E-2</v>
      </c>
      <c r="AU35" s="1">
        <v>-0.17050148016528879</v>
      </c>
      <c r="AV35" s="1">
        <v>-2.4903413191822051E-2</v>
      </c>
      <c r="AW35" s="1">
        <v>1.8945613821419519E-2</v>
      </c>
      <c r="AX35" s="1">
        <v>4.7772487573231423E-2</v>
      </c>
      <c r="AY35" s="2">
        <v>0.22350765255514249</v>
      </c>
      <c r="AZ35" s="1">
        <v>0.12921560505518129</v>
      </c>
      <c r="BA35" s="1">
        <v>0.1566135826142612</v>
      </c>
      <c r="BB35" s="1">
        <v>3.3197511227017813E-2</v>
      </c>
      <c r="BC35" s="1">
        <v>-7.6231096088375042E-2</v>
      </c>
      <c r="BD35" s="1">
        <v>2.0401402152747342E-2</v>
      </c>
      <c r="BE35" s="1">
        <v>-4.8795340613224783E-2</v>
      </c>
      <c r="BF35" s="1">
        <v>-1.3490864763575619E-2</v>
      </c>
      <c r="BG35" s="1">
        <v>-1.3314343720228369E-2</v>
      </c>
      <c r="BH35" s="1">
        <v>-7.7136100575805706E-3</v>
      </c>
      <c r="BI35" s="1">
        <v>-1.027274773427677E-2</v>
      </c>
      <c r="BJ35" s="1">
        <v>-2.9269637487180249E-2</v>
      </c>
      <c r="BK35" s="1">
        <v>7.0372244262880843E-2</v>
      </c>
      <c r="BL35" s="1">
        <v>6.772523211680069E-2</v>
      </c>
      <c r="BM35" s="1">
        <v>-9.9385992399658618E-2</v>
      </c>
      <c r="BN35" s="1">
        <v>-2.582796541759786E-2</v>
      </c>
      <c r="BO35" s="1">
        <v>3.4779141292637789E-2</v>
      </c>
      <c r="BP35" s="1">
        <v>-2.5899414423164829E-2</v>
      </c>
      <c r="BQ35" s="1">
        <v>-2.787889341786259E-2</v>
      </c>
      <c r="BR35" s="1">
        <v>5.0486520404519161E-2</v>
      </c>
      <c r="BS35" s="1">
        <v>-1.6387840235134388E-2</v>
      </c>
      <c r="BT35" s="1">
        <v>1.380782857418706E-2</v>
      </c>
      <c r="BU35" s="1">
        <v>9.0149138288775615E-3</v>
      </c>
      <c r="BV35" s="1">
        <v>2.2478499234861931E-2</v>
      </c>
      <c r="BW35" s="1">
        <v>-1.2552615780671159E-2</v>
      </c>
      <c r="BX35" s="1">
        <v>1.2392386926629719E-2</v>
      </c>
      <c r="BY35" s="1">
        <v>6.0429518092163671E-3</v>
      </c>
      <c r="BZ35" s="1">
        <v>-8.5825580232337228E-3</v>
      </c>
      <c r="CA35" s="1">
        <v>7.5604398801906456E-3</v>
      </c>
      <c r="CB35" s="1">
        <v>-1.6581151480283531E-2</v>
      </c>
      <c r="CC35" s="1">
        <v>1.7927282627569111E-2</v>
      </c>
      <c r="CD35" s="1">
        <v>-5.4925481355908952E-3</v>
      </c>
      <c r="CE35" s="1">
        <v>9.1956985068411545E-3</v>
      </c>
      <c r="CF35" s="1">
        <v>-1.221741034810171E-2</v>
      </c>
      <c r="CG35" s="1">
        <v>1.382583195010967E-2</v>
      </c>
      <c r="CH35" s="1">
        <v>3.4695556734736177E-2</v>
      </c>
      <c r="CI35" s="1">
        <v>-3.3654022577769629E-2</v>
      </c>
      <c r="CJ35" s="1">
        <v>5.7916794245565194E-4</v>
      </c>
      <c r="CK35" s="1">
        <v>6.2468028466688126E-5</v>
      </c>
    </row>
    <row r="36" spans="1:89" x14ac:dyDescent="0.2">
      <c r="A36" s="10"/>
      <c r="B36" s="1" t="s">
        <v>2</v>
      </c>
      <c r="C36" s="1">
        <v>-2.8272287026681071E-2</v>
      </c>
      <c r="D36" s="1">
        <v>-2.0933118451374878E-3</v>
      </c>
      <c r="E36" s="1">
        <v>-1.4814364550016191E-3</v>
      </c>
      <c r="F36" s="2">
        <v>0.21488403828870961</v>
      </c>
      <c r="G36" s="1">
        <v>-7.2974886085576229E-2</v>
      </c>
      <c r="H36" s="1">
        <v>-3.7457732195159128E-3</v>
      </c>
      <c r="I36" s="2">
        <v>0.22324381570037269</v>
      </c>
      <c r="J36" s="2">
        <v>0.19995324034355469</v>
      </c>
      <c r="K36" s="1">
        <v>-1.5750900112914131E-2</v>
      </c>
      <c r="L36" s="1">
        <v>5.3715600593448043E-2</v>
      </c>
      <c r="M36" s="2">
        <v>0.43268130606188659</v>
      </c>
      <c r="N36" s="2">
        <v>0.29327332227853342</v>
      </c>
      <c r="O36" s="2">
        <v>-0.18195982469544719</v>
      </c>
      <c r="P36" s="1">
        <v>0.13250928221129241</v>
      </c>
      <c r="Q36" s="1">
        <v>2.4470006113609211E-2</v>
      </c>
      <c r="R36" s="1">
        <v>9.1680301073981424E-2</v>
      </c>
      <c r="S36" s="1">
        <v>-8.4344381988774239E-2</v>
      </c>
      <c r="T36" s="1">
        <v>0.13738583666339141</v>
      </c>
      <c r="U36" s="1">
        <v>-1.575090011291428E-2</v>
      </c>
      <c r="V36" s="1">
        <v>-4.7874179096745503E-2</v>
      </c>
      <c r="W36" s="1">
        <v>-6.3284588380517176E-2</v>
      </c>
      <c r="X36" s="1">
        <v>7.6004734713246994E-2</v>
      </c>
      <c r="Y36" s="1">
        <v>4.6907215292158307E-2</v>
      </c>
      <c r="Z36" s="1">
        <v>-6.0402811124922413E-2</v>
      </c>
      <c r="AA36" s="1">
        <v>-4.5120062217086573E-2</v>
      </c>
      <c r="AB36" s="1">
        <v>0.14773777339141411</v>
      </c>
      <c r="AC36" s="1">
        <v>1.147139109778658E-2</v>
      </c>
      <c r="AD36" s="1">
        <v>0.12712631717942829</v>
      </c>
      <c r="AE36" s="1">
        <v>8.099646669202322E-2</v>
      </c>
      <c r="AF36" s="1">
        <v>1.43767897979824E-2</v>
      </c>
      <c r="AG36" s="1">
        <v>8.3345158011553941E-2</v>
      </c>
      <c r="AH36" s="1">
        <v>-3.1916174715424302E-2</v>
      </c>
      <c r="AI36" s="2">
        <v>0.36910972266195963</v>
      </c>
      <c r="AJ36" s="2">
        <v>0.26070604735818931</v>
      </c>
      <c r="AK36" s="1">
        <v>-2.6439900047421541E-2</v>
      </c>
      <c r="AL36" s="1">
        <v>-5.8085384419018421E-2</v>
      </c>
      <c r="AM36" s="1">
        <v>-4.4151304334499611E-2</v>
      </c>
      <c r="AN36" s="1">
        <v>6.1340613442836048E-2</v>
      </c>
      <c r="AO36" s="1">
        <v>5.4762741766614401E-2</v>
      </c>
      <c r="AP36" s="1">
        <v>5.1640020563369887E-2</v>
      </c>
      <c r="AQ36" s="2">
        <v>0.18760331652140169</v>
      </c>
      <c r="AR36" s="1">
        <v>-6.6677447599594555E-2</v>
      </c>
      <c r="AS36" s="1">
        <v>2.671619624462026E-3</v>
      </c>
      <c r="AT36" s="1">
        <v>-6.9797479544794927E-2</v>
      </c>
      <c r="AU36" s="1">
        <v>0.1265995878673595</v>
      </c>
      <c r="AV36" s="2">
        <v>0.19746109846132939</v>
      </c>
      <c r="AW36" s="1">
        <v>5.9764920493938493E-2</v>
      </c>
      <c r="AX36" s="1">
        <v>0.118446283117615</v>
      </c>
      <c r="AY36" s="1">
        <v>-3.9465855680395491E-2</v>
      </c>
      <c r="AZ36" s="1">
        <v>-1.457945507551725E-2</v>
      </c>
      <c r="BA36" s="1">
        <v>5.211646819451031E-2</v>
      </c>
      <c r="BB36" s="1">
        <v>0.11345619877547</v>
      </c>
      <c r="BC36" s="1">
        <v>7.2295788054814902E-2</v>
      </c>
      <c r="BD36" s="1">
        <v>-1.6526186653821211E-2</v>
      </c>
      <c r="BE36" s="1">
        <v>-2.5242137287225391E-2</v>
      </c>
      <c r="BF36" s="1">
        <v>-6.3982809435034538E-2</v>
      </c>
      <c r="BG36" s="1">
        <v>-3.6654307408848188E-2</v>
      </c>
      <c r="BH36" s="1">
        <v>-4.2995795518074767E-2</v>
      </c>
      <c r="BI36" s="1">
        <v>-2.2741924336738741E-2</v>
      </c>
      <c r="BJ36" s="1">
        <v>-6.2726486964709338E-2</v>
      </c>
      <c r="BK36" s="1">
        <v>9.8327332953655078E-3</v>
      </c>
      <c r="BL36" s="1">
        <v>0.1286953255778791</v>
      </c>
      <c r="BM36" s="1">
        <v>-5.964612841235651E-2</v>
      </c>
      <c r="BN36" s="1">
        <v>-8.5262883156046423E-2</v>
      </c>
      <c r="BO36" s="1">
        <v>-6.4166628490649982E-2</v>
      </c>
      <c r="BP36" s="1">
        <v>-5.3974794168660127E-2</v>
      </c>
      <c r="BQ36" s="1">
        <v>-2.5247707604631249E-2</v>
      </c>
      <c r="BR36" s="1">
        <v>1.805795527699975E-2</v>
      </c>
      <c r="BS36" s="1">
        <v>-1.8723911678324798E-2</v>
      </c>
      <c r="BT36" s="1">
        <v>7.5927118645691856E-3</v>
      </c>
      <c r="BU36" s="1">
        <v>-4.0909204689188329E-2</v>
      </c>
      <c r="BV36" s="1">
        <v>4.7282963639184203E-2</v>
      </c>
      <c r="BW36" s="1">
        <v>-7.1728793658636103E-2</v>
      </c>
      <c r="BX36" s="1">
        <v>3.1676121126085838E-2</v>
      </c>
      <c r="BY36" s="1">
        <v>-2.5261719947910159E-2</v>
      </c>
      <c r="BZ36" s="1">
        <v>9.2753735696072485E-3</v>
      </c>
      <c r="CA36" s="1">
        <v>-2.9487772724087841E-2</v>
      </c>
      <c r="CB36" s="1">
        <v>-6.4193666730587564E-3</v>
      </c>
      <c r="CC36" s="1">
        <v>-7.1247987246214391E-3</v>
      </c>
      <c r="CD36" s="1">
        <v>1.9379556050463501E-2</v>
      </c>
      <c r="CE36" s="1">
        <v>-2.7944033972159488E-2</v>
      </c>
      <c r="CF36" s="1">
        <v>-1.286334861485774E-2</v>
      </c>
      <c r="CG36" s="1">
        <v>1.099357072707878E-2</v>
      </c>
      <c r="CH36" s="1">
        <v>-3.9551301960437393E-2</v>
      </c>
      <c r="CI36" s="1">
        <v>4.0972948291802796E-3</v>
      </c>
      <c r="CJ36" s="1">
        <v>5.039425404715657E-3</v>
      </c>
      <c r="CK36" s="1">
        <v>-8.4569248983468147E-3</v>
      </c>
    </row>
    <row r="37" spans="1:89" x14ac:dyDescent="0.2">
      <c r="A37" s="10"/>
      <c r="B37" s="1" t="s">
        <v>3</v>
      </c>
      <c r="C37" s="1">
        <v>-0.15208456389516639</v>
      </c>
      <c r="D37" s="1">
        <v>6.8193020026527662E-2</v>
      </c>
      <c r="E37" s="1">
        <v>6.4610867135033473E-2</v>
      </c>
      <c r="F37" s="2">
        <v>0.18442542906497289</v>
      </c>
      <c r="G37" s="1">
        <v>-0.10839782842171761</v>
      </c>
      <c r="H37" s="1">
        <v>0.13715423327069701</v>
      </c>
      <c r="I37" s="1">
        <v>-5.9100987759060142E-2</v>
      </c>
      <c r="J37" s="1">
        <v>-9.1419111698750333E-3</v>
      </c>
      <c r="K37" s="1">
        <v>6.6681831776076145E-2</v>
      </c>
      <c r="L37" s="1">
        <v>-2.5869980118263549E-2</v>
      </c>
      <c r="M37" s="1">
        <v>-6.0912713655812689E-2</v>
      </c>
      <c r="N37" s="1">
        <v>0.1483940666056992</v>
      </c>
      <c r="O37" s="1">
        <v>4.4355995325760643E-2</v>
      </c>
      <c r="P37" s="1">
        <v>-1.1643445037847269E-2</v>
      </c>
      <c r="Q37" s="1">
        <v>4.3963530693607818E-2</v>
      </c>
      <c r="R37" s="1">
        <v>1.4941871539548981E-2</v>
      </c>
      <c r="S37" s="1">
        <v>-8.2959510683930801E-2</v>
      </c>
      <c r="T37" s="1">
        <v>0.11821259893352121</v>
      </c>
      <c r="U37" s="1">
        <v>6.6681831776076159E-2</v>
      </c>
      <c r="V37" s="1">
        <v>9.7117593202935906E-2</v>
      </c>
      <c r="W37" s="1">
        <v>5.2073848028039812E-2</v>
      </c>
      <c r="X37" s="1">
        <v>0.1160827023146532</v>
      </c>
      <c r="Y37" s="1">
        <v>-4.0962958020881483E-3</v>
      </c>
      <c r="Z37" s="1">
        <v>-0.14625601274263331</v>
      </c>
      <c r="AA37" s="1">
        <v>-5.9697641978168799E-2</v>
      </c>
      <c r="AB37" s="1">
        <v>-8.5012589595067911E-2</v>
      </c>
      <c r="AC37" s="1">
        <v>-0.1200331885280201</v>
      </c>
      <c r="AD37" s="1">
        <v>4.7023977984596652E-3</v>
      </c>
      <c r="AE37" s="1">
        <v>0.1016753004195933</v>
      </c>
      <c r="AF37" s="1">
        <v>-3.2579668393013107E-2</v>
      </c>
      <c r="AG37" s="1">
        <v>7.824952037103669E-2</v>
      </c>
      <c r="AH37" s="1">
        <v>-1.8616704775154751E-2</v>
      </c>
      <c r="AI37" s="1">
        <v>-0.15281610334578949</v>
      </c>
      <c r="AJ37" s="1">
        <v>-6.5143604350970698E-3</v>
      </c>
      <c r="AK37" s="1">
        <v>2.0894707427816119E-4</v>
      </c>
      <c r="AL37" s="1">
        <v>-4.7695782839095938E-2</v>
      </c>
      <c r="AM37" s="1">
        <v>7.476102269748275E-3</v>
      </c>
      <c r="AN37" s="1">
        <v>-3.5271258286702551E-3</v>
      </c>
      <c r="AO37" s="1">
        <v>-8.0353661845110058E-3</v>
      </c>
      <c r="AP37" s="1">
        <v>7.3637418594441437E-2</v>
      </c>
      <c r="AQ37" s="1">
        <v>0.1459186538698691</v>
      </c>
      <c r="AR37" s="1">
        <v>2.5089633482118E-3</v>
      </c>
      <c r="AS37" s="1">
        <v>2.7378042758820528E-3</v>
      </c>
      <c r="AT37" s="1">
        <v>-3.1088303051678111E-2</v>
      </c>
      <c r="AU37" s="1">
        <v>-4.9196886306088119E-3</v>
      </c>
      <c r="AV37" s="1">
        <v>9.1543536850471466E-2</v>
      </c>
      <c r="AW37" s="2">
        <v>-0.26560601686193919</v>
      </c>
      <c r="AX37" s="2">
        <v>-0.17513736973264191</v>
      </c>
      <c r="AY37" s="1">
        <v>8.1293705226825622E-2</v>
      </c>
      <c r="AZ37" s="1">
        <v>-1.6119411995501931E-2</v>
      </c>
      <c r="BA37" s="2">
        <v>-0.18128365658003701</v>
      </c>
      <c r="BB37" s="2">
        <v>-0.18646217402261281</v>
      </c>
      <c r="BC37" s="2">
        <v>-0.20180882104017919</v>
      </c>
      <c r="BD37" s="1">
        <v>-6.0621205542455432E-2</v>
      </c>
      <c r="BE37" s="1">
        <v>-9.4476101003886492E-3</v>
      </c>
      <c r="BF37" s="1">
        <v>-2.4360120308592258E-2</v>
      </c>
      <c r="BG37" s="1">
        <v>4.2631447227326418E-2</v>
      </c>
      <c r="BH37" s="1">
        <v>1.4739540428365989E-2</v>
      </c>
      <c r="BI37" s="1">
        <v>8.0920603220525494E-2</v>
      </c>
      <c r="BJ37" s="1">
        <v>-5.6929931240744282E-2</v>
      </c>
      <c r="BK37" s="1">
        <v>-9.071155933636792E-3</v>
      </c>
      <c r="BL37" s="1">
        <v>-1.5807282715336369E-2</v>
      </c>
      <c r="BM37" s="1">
        <v>-2.316518066282992E-2</v>
      </c>
      <c r="BN37" s="1">
        <v>-3.2474422841697582E-2</v>
      </c>
      <c r="BO37" s="1">
        <v>3.3431095528624312E-2</v>
      </c>
      <c r="BP37" s="2">
        <v>0.30314584445961451</v>
      </c>
      <c r="BQ37" s="1">
        <v>0.1309099321679407</v>
      </c>
      <c r="BR37" s="1">
        <v>0.12405911939563891</v>
      </c>
      <c r="BS37" s="1">
        <v>-6.9503393757756632E-2</v>
      </c>
      <c r="BT37" s="1">
        <v>0.1407198569667901</v>
      </c>
      <c r="BU37" s="1">
        <v>-0.1418562313036415</v>
      </c>
      <c r="BV37" s="1">
        <v>0.1015041021508387</v>
      </c>
      <c r="BW37" s="1">
        <v>-7.1560218121199559E-2</v>
      </c>
      <c r="BX37" s="1">
        <v>0.12639743664733291</v>
      </c>
      <c r="BY37" s="1">
        <v>-4.4496983579155283E-2</v>
      </c>
      <c r="BZ37" s="1">
        <v>0.14875210049517429</v>
      </c>
      <c r="CA37" s="1">
        <v>-7.5815934314661784E-2</v>
      </c>
      <c r="CB37" s="2">
        <v>0.169183398928342</v>
      </c>
      <c r="CC37" s="1">
        <v>-0.1003160761871467</v>
      </c>
      <c r="CD37" s="2">
        <v>0.23382886064040809</v>
      </c>
      <c r="CE37" s="1">
        <v>-0.15430755843570709</v>
      </c>
      <c r="CF37" s="2">
        <v>0.166014172956825</v>
      </c>
      <c r="CG37" s="1">
        <v>-0.1061493077658065</v>
      </c>
      <c r="CH37" s="1">
        <v>0.16457738359129581</v>
      </c>
      <c r="CI37" s="1">
        <v>-0.11573015912886279</v>
      </c>
      <c r="CJ37" s="1">
        <v>0.1535443360351253</v>
      </c>
      <c r="CK37" s="1">
        <v>-3.6116983226048713E-2</v>
      </c>
    </row>
    <row r="38" spans="1:89" x14ac:dyDescent="0.2">
      <c r="A38" s="10"/>
      <c r="B38" s="1" t="s">
        <v>4</v>
      </c>
      <c r="C38" s="2">
        <v>0.28871619389249442</v>
      </c>
      <c r="D38" s="1">
        <v>-7.1711454795410301E-2</v>
      </c>
      <c r="E38" s="1">
        <v>-4.5993877083768619E-2</v>
      </c>
      <c r="F38" s="1">
        <v>-0.11518087994793</v>
      </c>
      <c r="G38" s="1">
        <v>7.183709420911899E-2</v>
      </c>
      <c r="H38" s="1">
        <v>-8.5821054916604023E-2</v>
      </c>
      <c r="I38" s="2">
        <v>0.15810224499683259</v>
      </c>
      <c r="J38" s="2">
        <v>0.13838306260279989</v>
      </c>
      <c r="K38" s="1">
        <v>-9.3003363030345038E-2</v>
      </c>
      <c r="L38" s="1">
        <v>8.1750717894152447E-2</v>
      </c>
      <c r="M38" s="1">
        <v>5.0369169415043068E-2</v>
      </c>
      <c r="N38" s="1">
        <v>-9.4445485371825233E-2</v>
      </c>
      <c r="O38" s="1">
        <v>-8.7435721566361535E-3</v>
      </c>
      <c r="P38" s="1">
        <v>3.9989614277952772E-2</v>
      </c>
      <c r="Q38" s="1">
        <v>3.8983622508381777E-2</v>
      </c>
      <c r="R38" s="1">
        <v>7.0498072757959787E-2</v>
      </c>
      <c r="S38" s="1">
        <v>0.1106488270113508</v>
      </c>
      <c r="T38" s="1">
        <v>-1.389505298401314E-2</v>
      </c>
      <c r="U38" s="1">
        <v>-9.3003363030344996E-2</v>
      </c>
      <c r="V38" s="2">
        <v>-0.27995150011949071</v>
      </c>
      <c r="W38" s="1">
        <v>-8.0390603508281921E-2</v>
      </c>
      <c r="X38" s="1">
        <v>-0.1056230915925773</v>
      </c>
      <c r="Y38" s="1">
        <v>5.9239622198310408E-2</v>
      </c>
      <c r="Z38" s="2">
        <v>0.22566031562874381</v>
      </c>
      <c r="AA38" s="1">
        <v>4.7768502371066078E-3</v>
      </c>
      <c r="AB38" s="1">
        <v>2.0590479203551199E-2</v>
      </c>
      <c r="AC38" s="1">
        <v>5.541288000345234E-2</v>
      </c>
      <c r="AD38" s="1">
        <v>1.5770242232422599E-2</v>
      </c>
      <c r="AE38" s="1">
        <v>8.7843749864147683E-2</v>
      </c>
      <c r="AF38" s="1">
        <v>7.1254283369015972E-2</v>
      </c>
      <c r="AG38" s="1">
        <v>5.7123262919268718E-2</v>
      </c>
      <c r="AH38" s="1">
        <v>-8.6857192474829106E-3</v>
      </c>
      <c r="AI38" s="1">
        <v>4.7752593232559079E-2</v>
      </c>
      <c r="AJ38" s="1">
        <v>-1.9394300806095711E-2</v>
      </c>
      <c r="AK38" s="1">
        <v>-3.5362389736859387E-2</v>
      </c>
      <c r="AL38" s="1">
        <v>1.0193822439101779E-2</v>
      </c>
      <c r="AM38" s="1">
        <v>-3.488675482702458E-2</v>
      </c>
      <c r="AN38" s="1">
        <v>8.1897957261705037E-3</v>
      </c>
      <c r="AO38" s="1">
        <v>3.6004638026828337E-2</v>
      </c>
      <c r="AP38" s="1">
        <v>-9.7541024983315211E-2</v>
      </c>
      <c r="AQ38" s="1">
        <v>-4.1011348278971557E-2</v>
      </c>
      <c r="AR38" s="1">
        <v>-5.4551934490948903E-2</v>
      </c>
      <c r="AS38" s="1">
        <v>7.0059522277664977E-3</v>
      </c>
      <c r="AT38" s="1">
        <v>8.4095363440992735E-2</v>
      </c>
      <c r="AU38" s="1">
        <v>-2.3186846544703529E-2</v>
      </c>
      <c r="AV38" s="1">
        <v>-7.5321166766348327E-2</v>
      </c>
      <c r="AW38" s="2">
        <v>-0.37511437833637618</v>
      </c>
      <c r="AX38" s="1">
        <v>0.1045139612215855</v>
      </c>
      <c r="AY38" s="1">
        <v>-0.11704692807920471</v>
      </c>
      <c r="AZ38" s="2">
        <v>-0.18837094052284831</v>
      </c>
      <c r="BA38" s="1">
        <v>9.4158307915094469E-2</v>
      </c>
      <c r="BB38" s="2">
        <v>0.15420922728694211</v>
      </c>
      <c r="BC38" s="1">
        <v>7.661128866199815E-2</v>
      </c>
      <c r="BD38" s="1">
        <v>5.1487785775638541E-2</v>
      </c>
      <c r="BE38" s="1">
        <v>5.8812824894542592E-2</v>
      </c>
      <c r="BF38" s="1">
        <v>1.604536974957688E-2</v>
      </c>
      <c r="BG38" s="1">
        <v>2.81337452438007E-2</v>
      </c>
      <c r="BH38" s="1">
        <v>8.2560036683636089E-3</v>
      </c>
      <c r="BI38" s="1">
        <v>6.6992281122628949E-2</v>
      </c>
      <c r="BJ38" s="1">
        <v>4.7413376687672412E-2</v>
      </c>
      <c r="BK38" s="1">
        <v>-2.0111355264850639E-2</v>
      </c>
      <c r="BL38" s="1">
        <v>-3.2372999772784718E-2</v>
      </c>
      <c r="BM38" s="1">
        <v>9.6455647722131249E-2</v>
      </c>
      <c r="BN38" s="1">
        <v>4.4965918446019423E-2</v>
      </c>
      <c r="BO38" s="1">
        <v>-1.6458205363312949E-2</v>
      </c>
      <c r="BP38" s="2">
        <v>0.45064124581111542</v>
      </c>
      <c r="BQ38" s="2">
        <v>0.18697879298638681</v>
      </c>
      <c r="BR38" s="1">
        <v>-4.032563683780007E-2</v>
      </c>
      <c r="BS38" s="1">
        <v>2.4933700965157339E-2</v>
      </c>
      <c r="BT38" s="1">
        <v>-7.8988297998955098E-2</v>
      </c>
      <c r="BU38" s="1">
        <v>9.8362322717319345E-2</v>
      </c>
      <c r="BV38" s="1">
        <v>2.7617343916997449E-2</v>
      </c>
      <c r="BW38" s="1">
        <v>-5.8782128614605729E-3</v>
      </c>
      <c r="BX38" s="1">
        <v>3.4282549608892203E-2</v>
      </c>
      <c r="BY38" s="1">
        <v>-1.796368178892388E-2</v>
      </c>
      <c r="BZ38" s="1">
        <v>2.9577874865261821E-2</v>
      </c>
      <c r="CA38" s="1">
        <v>-2.4511252609314812E-4</v>
      </c>
      <c r="CB38" s="1">
        <v>0.10525334236749979</v>
      </c>
      <c r="CC38" s="1">
        <v>-4.8280581661648829E-2</v>
      </c>
      <c r="CD38" s="1">
        <v>3.945712453563887E-2</v>
      </c>
      <c r="CE38" s="1">
        <v>-1.8300104119640101E-2</v>
      </c>
      <c r="CF38" s="1">
        <v>8.4147499174945184E-2</v>
      </c>
      <c r="CG38" s="1">
        <v>-4.8465422313584292E-2</v>
      </c>
      <c r="CH38" s="1">
        <v>9.8943780301398263E-2</v>
      </c>
      <c r="CI38" s="1">
        <v>-7.3176827041298798E-2</v>
      </c>
      <c r="CJ38" s="1">
        <v>0.112047340333348</v>
      </c>
      <c r="CK38" s="1">
        <v>-2.9014240965088939E-2</v>
      </c>
    </row>
    <row r="39" spans="1:89" x14ac:dyDescent="0.2">
      <c r="A39" s="10"/>
      <c r="B39" s="1" t="s">
        <v>10</v>
      </c>
      <c r="C39" s="1">
        <v>-8.8709522088455103E-2</v>
      </c>
      <c r="D39" s="1">
        <v>0.1418299398630318</v>
      </c>
      <c r="E39" s="1">
        <v>0.13450425901410759</v>
      </c>
      <c r="F39" s="1">
        <v>7.7239302093457043E-3</v>
      </c>
      <c r="G39" s="1">
        <v>-4.9638543870886093E-2</v>
      </c>
      <c r="H39" s="1">
        <v>-1.1520667541502769E-3</v>
      </c>
      <c r="I39" s="2">
        <v>-0.17372838314169059</v>
      </c>
      <c r="J39" s="1">
        <v>-0.10695763593692199</v>
      </c>
      <c r="K39" s="1">
        <v>5.4408410838153433E-2</v>
      </c>
      <c r="L39" s="1">
        <v>-0.1048133121511243</v>
      </c>
      <c r="M39" s="1">
        <v>0.15815674893511911</v>
      </c>
      <c r="N39" s="1">
        <v>6.520290881436297E-2</v>
      </c>
      <c r="O39" s="1">
        <v>-4.3820798306477809E-2</v>
      </c>
      <c r="P39" s="1">
        <v>-9.5758582331447892E-2</v>
      </c>
      <c r="Q39" s="1">
        <v>-3.5117427787299982E-2</v>
      </c>
      <c r="R39" s="1">
        <v>-0.15521821346409501</v>
      </c>
      <c r="S39" s="1">
        <v>-8.3566141821617812E-2</v>
      </c>
      <c r="T39" s="1">
        <v>-0.14378303868028919</v>
      </c>
      <c r="U39" s="1">
        <v>5.4408410838153523E-2</v>
      </c>
      <c r="V39" s="2">
        <v>-0.25468342368531949</v>
      </c>
      <c r="W39" s="1">
        <v>-0.14916548556591089</v>
      </c>
      <c r="X39" s="1">
        <v>-0.1276342083727357</v>
      </c>
      <c r="Y39" s="1">
        <v>-0.12562842031079291</v>
      </c>
      <c r="Z39" s="1">
        <v>-8.0844076096123138E-2</v>
      </c>
      <c r="AA39" s="1">
        <v>2.039493739621593E-2</v>
      </c>
      <c r="AB39" s="1">
        <v>-7.498325855203021E-2</v>
      </c>
      <c r="AC39" s="1">
        <v>7.6302565012449433E-2</v>
      </c>
      <c r="AD39" s="1">
        <v>-1.6607752598954091E-2</v>
      </c>
      <c r="AE39" s="2">
        <v>-0.18499461323288721</v>
      </c>
      <c r="AF39" s="1">
        <v>-9.940019493263029E-3</v>
      </c>
      <c r="AG39" s="1">
        <v>-0.1099147752303298</v>
      </c>
      <c r="AH39" s="1">
        <v>9.6329327374885962E-2</v>
      </c>
      <c r="AI39" s="1">
        <v>0.16356509498313401</v>
      </c>
      <c r="AJ39" s="1">
        <v>9.8634525744302232E-2</v>
      </c>
      <c r="AK39" s="1">
        <v>9.8983012452520128E-2</v>
      </c>
      <c r="AL39" s="2">
        <v>0.28370097907955549</v>
      </c>
      <c r="AM39" s="2">
        <v>0.23326121387034129</v>
      </c>
      <c r="AN39" s="1">
        <v>1.706324435077523E-2</v>
      </c>
      <c r="AO39" s="2">
        <v>-0.22777803871561031</v>
      </c>
      <c r="AP39" s="2">
        <v>0.17732480794024069</v>
      </c>
      <c r="AQ39" s="2">
        <v>-0.26830994778183809</v>
      </c>
      <c r="AR39" s="2">
        <v>0.26823641492806971</v>
      </c>
      <c r="AS39" s="1">
        <v>1.2779741789731461E-3</v>
      </c>
      <c r="AT39" s="1">
        <v>-0.1142583312015729</v>
      </c>
      <c r="AU39" s="1">
        <v>8.9040394139559151E-2</v>
      </c>
      <c r="AV39" s="1">
        <v>8.2470269675047114E-2</v>
      </c>
      <c r="AW39" s="1">
        <v>-0.14532430226938561</v>
      </c>
      <c r="AX39" s="1">
        <v>0.1227591048681524</v>
      </c>
      <c r="AY39" s="1">
        <v>-2.6320880304444821E-2</v>
      </c>
      <c r="AZ39" s="1">
        <v>9.2281949087029955E-2</v>
      </c>
      <c r="BA39" s="1">
        <v>-1.2299630498630979E-2</v>
      </c>
      <c r="BB39" s="1">
        <v>-4.027857984650713E-2</v>
      </c>
      <c r="BC39" s="1">
        <v>7.6841315994775491E-2</v>
      </c>
      <c r="BD39" s="1">
        <v>-7.9196855626573661E-3</v>
      </c>
      <c r="BE39" s="1">
        <v>6.8354670250319882E-2</v>
      </c>
      <c r="BF39" s="1">
        <v>3.3662717246443812E-2</v>
      </c>
      <c r="BG39" s="1">
        <v>4.6641933650482567E-2</v>
      </c>
      <c r="BH39" s="1">
        <v>-1.6173655696516291E-2</v>
      </c>
      <c r="BI39" s="1">
        <v>4.1918618042581852E-2</v>
      </c>
      <c r="BJ39" s="1">
        <v>5.5036457128660732E-2</v>
      </c>
      <c r="BK39" s="1">
        <v>0.1358533637014456</v>
      </c>
      <c r="BL39" s="1">
        <v>0.1216902427673586</v>
      </c>
      <c r="BM39" s="1">
        <v>-7.0419229090720209E-2</v>
      </c>
      <c r="BN39" s="1">
        <v>-2.5473472650827639E-2</v>
      </c>
      <c r="BO39" s="1">
        <v>4.999469762927472E-2</v>
      </c>
      <c r="BP39" s="2">
        <v>0.17129555675743169</v>
      </c>
      <c r="BQ39" s="1">
        <v>0.1176884062809619</v>
      </c>
      <c r="BR39" s="1">
        <v>4.1065900055167297E-2</v>
      </c>
      <c r="BS39" s="1">
        <v>-2.088089239140201E-2</v>
      </c>
      <c r="BT39" s="1">
        <v>2.432787835994317E-2</v>
      </c>
      <c r="BU39" s="1">
        <v>-3.8050825524998153E-2</v>
      </c>
      <c r="BV39" s="1">
        <v>5.4983094341715007E-2</v>
      </c>
      <c r="BW39" s="1">
        <v>-5.9526424971675533E-2</v>
      </c>
      <c r="BX39" s="1">
        <v>-6.1176514732899871E-3</v>
      </c>
      <c r="BY39" s="1">
        <v>3.6094741286584901E-2</v>
      </c>
      <c r="BZ39" s="1">
        <v>-1.0209688962161701E-2</v>
      </c>
      <c r="CA39" s="1">
        <v>1.019413754914889E-2</v>
      </c>
      <c r="CB39" s="1">
        <v>1.37201180460126E-2</v>
      </c>
      <c r="CC39" s="1">
        <v>-2.776203377751674E-2</v>
      </c>
      <c r="CD39" s="1">
        <v>-3.3104409016576422E-2</v>
      </c>
      <c r="CE39" s="1">
        <v>2.392860880010101E-2</v>
      </c>
      <c r="CF39" s="1">
        <v>-1.4673451422846651E-2</v>
      </c>
      <c r="CG39" s="1">
        <v>5.1024546225943383E-3</v>
      </c>
      <c r="CH39" s="1">
        <v>-3.1312422576099397E-2</v>
      </c>
      <c r="CI39" s="1">
        <v>3.7943610106401328E-2</v>
      </c>
      <c r="CJ39" s="1">
        <v>-3.3102862134672742E-2</v>
      </c>
      <c r="CK39" s="1">
        <v>8.6783720727545699E-3</v>
      </c>
    </row>
    <row r="40" spans="1:89" x14ac:dyDescent="0.2">
      <c r="A40" s="10"/>
      <c r="B40" s="1" t="s">
        <v>12</v>
      </c>
      <c r="C40" s="2">
        <v>-0.31350789114423311</v>
      </c>
      <c r="D40" s="1">
        <v>5.5232835893048171E-3</v>
      </c>
      <c r="E40" s="1">
        <v>-2.7189899101959351E-2</v>
      </c>
      <c r="F40" s="1">
        <v>0.10476885328453781</v>
      </c>
      <c r="G40" s="2">
        <v>0.1444791113504014</v>
      </c>
      <c r="H40" s="1">
        <v>4.1962284609504463E-2</v>
      </c>
      <c r="I40" s="1">
        <v>-3.6700818076643972E-2</v>
      </c>
      <c r="J40" s="1">
        <v>2.7339298495274281E-2</v>
      </c>
      <c r="K40" s="1">
        <v>-0.1089477882944208</v>
      </c>
      <c r="L40" s="1">
        <v>-7.1402222502373963E-2</v>
      </c>
      <c r="M40" s="2">
        <v>0.17851981280108309</v>
      </c>
      <c r="N40" s="1">
        <v>2.6830960062252551E-2</v>
      </c>
      <c r="O40" s="1">
        <v>-4.9000244114770497E-2</v>
      </c>
      <c r="P40" s="1">
        <v>-0.12618305629915519</v>
      </c>
      <c r="Q40" s="1">
        <v>6.657991286696284E-2</v>
      </c>
      <c r="R40" s="2">
        <v>-0.25175223329916868</v>
      </c>
      <c r="S40" s="1">
        <v>-1.085747916823002E-2</v>
      </c>
      <c r="T40" s="1">
        <v>-0.12820946836192851</v>
      </c>
      <c r="U40" s="1">
        <v>-0.1089477882944208</v>
      </c>
      <c r="V40" s="2">
        <v>0.5481785432599835</v>
      </c>
      <c r="W40" s="2">
        <v>0.27035514517856862</v>
      </c>
      <c r="X40" s="1">
        <v>9.487528240997907E-2</v>
      </c>
      <c r="Y40" s="1">
        <v>5.484811973604678E-2</v>
      </c>
      <c r="Z40" s="2">
        <v>0.19839244788851279</v>
      </c>
      <c r="AA40" s="1">
        <v>-3.0062938543652679E-2</v>
      </c>
      <c r="AB40" s="1">
        <v>8.7021244145032456E-2</v>
      </c>
      <c r="AC40" s="2">
        <v>0.14987325225219089</v>
      </c>
      <c r="AD40" s="1">
        <v>7.8145705069098109E-3</v>
      </c>
      <c r="AE40" s="1">
        <v>1.329349863760285E-2</v>
      </c>
      <c r="AF40" s="1">
        <v>0.1065056125149778</v>
      </c>
      <c r="AG40" s="1">
        <v>1.1039253789240609E-3</v>
      </c>
      <c r="AH40" s="1">
        <v>0.1226644373995342</v>
      </c>
      <c r="AI40" s="1">
        <v>8.9413946942475855E-2</v>
      </c>
      <c r="AJ40" s="1">
        <v>-4.5330509966850251E-2</v>
      </c>
      <c r="AK40" s="1">
        <v>-2.37130211871041E-2</v>
      </c>
      <c r="AL40" s="1">
        <v>-5.0320248817720861E-2</v>
      </c>
      <c r="AM40" s="1">
        <v>6.7768616345950328E-2</v>
      </c>
      <c r="AN40" s="1">
        <v>3.6387989236750858E-2</v>
      </c>
      <c r="AO40" s="1">
        <v>-6.0505127397609083E-2</v>
      </c>
      <c r="AP40" s="1">
        <v>3.022488815796949E-2</v>
      </c>
      <c r="AQ40" s="1">
        <v>-1.0666591572358511E-2</v>
      </c>
      <c r="AR40" s="1">
        <v>2.3974456492315999E-2</v>
      </c>
      <c r="AS40" s="1">
        <v>-7.044988425751208E-3</v>
      </c>
      <c r="AT40" s="2">
        <v>0.14664934143699959</v>
      </c>
      <c r="AU40" s="1">
        <v>-1.496986108910996E-2</v>
      </c>
      <c r="AV40" s="1">
        <v>-9.0380919973254578E-2</v>
      </c>
      <c r="AW40" s="1">
        <v>-0.13236956556465199</v>
      </c>
      <c r="AX40" s="1">
        <v>0.1127130720628193</v>
      </c>
      <c r="AY40" s="1">
        <v>8.9635692169419037E-2</v>
      </c>
      <c r="AZ40" s="1">
        <v>-3.4206314788399E-2</v>
      </c>
      <c r="BA40" s="1">
        <v>0.1046546733927828</v>
      </c>
      <c r="BB40" s="1">
        <v>5.6331885825821368E-2</v>
      </c>
      <c r="BC40" s="1">
        <v>6.7524497372438597E-2</v>
      </c>
      <c r="BD40" s="1">
        <v>1.7597414489400609E-2</v>
      </c>
      <c r="BE40" s="1">
        <v>9.7148302016255711E-2</v>
      </c>
      <c r="BF40" s="1">
        <v>2.0633615399356889E-2</v>
      </c>
      <c r="BG40" s="1">
        <v>2.8233211355198271E-2</v>
      </c>
      <c r="BH40" s="1">
        <v>3.3987284999904169E-3</v>
      </c>
      <c r="BI40" s="1">
        <v>7.8158245059552101E-2</v>
      </c>
      <c r="BJ40" s="1">
        <v>8.0911487835529414E-2</v>
      </c>
      <c r="BK40" s="1">
        <v>-8.9512857843739649E-3</v>
      </c>
      <c r="BL40" s="1">
        <v>4.8455461564042623E-2</v>
      </c>
      <c r="BM40" s="1">
        <v>-2.6516413757612461E-2</v>
      </c>
      <c r="BN40" s="1">
        <v>-4.9920844711469512E-3</v>
      </c>
      <c r="BO40" s="1">
        <v>9.3905204087288523E-3</v>
      </c>
      <c r="BP40" s="2">
        <v>0.1535797467349958</v>
      </c>
      <c r="BQ40" s="1">
        <v>4.8225611465577349E-2</v>
      </c>
      <c r="BR40" s="1">
        <v>-7.330055521938586E-2</v>
      </c>
      <c r="BS40" s="1">
        <v>4.540426098233908E-2</v>
      </c>
      <c r="BT40" s="1">
        <v>-8.4680626655978072E-2</v>
      </c>
      <c r="BU40" s="1">
        <v>7.7275503994223671E-2</v>
      </c>
      <c r="BV40" s="1">
        <v>-2.897160961098217E-2</v>
      </c>
      <c r="BW40" s="1">
        <v>2.4946647518454341E-2</v>
      </c>
      <c r="BX40" s="1">
        <v>-5.3000551570823499E-2</v>
      </c>
      <c r="BY40" s="1">
        <v>3.5457422742718722E-2</v>
      </c>
      <c r="BZ40" s="1">
        <v>-5.4338541029633453E-2</v>
      </c>
      <c r="CA40" s="1">
        <v>6.5412842398765159E-2</v>
      </c>
      <c r="CB40" s="1">
        <v>4.8657444791040689E-3</v>
      </c>
      <c r="CC40" s="1">
        <v>1.035644318523281E-2</v>
      </c>
      <c r="CD40" s="1">
        <v>-5.3054669106086777E-2</v>
      </c>
      <c r="CE40" s="1">
        <v>4.4846859935806893E-2</v>
      </c>
      <c r="CF40" s="1">
        <v>1.719822853725873E-2</v>
      </c>
      <c r="CG40" s="1">
        <v>1.306630662741369E-2</v>
      </c>
      <c r="CH40" s="1">
        <v>8.9852836930859756E-2</v>
      </c>
      <c r="CI40" s="1">
        <v>-7.9787505822445925E-2</v>
      </c>
      <c r="CJ40" s="1">
        <v>3.2297830717208532E-3</v>
      </c>
      <c r="CK40" s="1">
        <v>1.411217257397083E-2</v>
      </c>
    </row>
    <row r="41" spans="1:89" x14ac:dyDescent="0.2">
      <c r="A41" s="10"/>
      <c r="B41" s="1" t="s">
        <v>13</v>
      </c>
      <c r="C41" s="1">
        <v>-2.1658210436070979E-2</v>
      </c>
      <c r="D41" s="1">
        <v>9.6879655741851797E-2</v>
      </c>
      <c r="E41" s="1">
        <v>0.14337868554035441</v>
      </c>
      <c r="F41" s="1">
        <v>1.6176098445029759E-2</v>
      </c>
      <c r="G41" s="1">
        <v>1.648937546447983E-2</v>
      </c>
      <c r="H41" s="2">
        <v>0.45520700741007841</v>
      </c>
      <c r="I41" s="1">
        <v>7.99697282867496E-2</v>
      </c>
      <c r="J41" s="1">
        <v>4.2912458456233107E-2</v>
      </c>
      <c r="K41" s="1">
        <v>-0.1077636210930229</v>
      </c>
      <c r="L41" s="1">
        <v>-2.1701012838664421E-2</v>
      </c>
      <c r="M41" s="1">
        <v>-1.3775483195476199E-2</v>
      </c>
      <c r="N41" s="1">
        <v>3.058926129436779E-2</v>
      </c>
      <c r="O41" s="1">
        <v>4.5675113843605397E-3</v>
      </c>
      <c r="P41" s="1">
        <v>-5.8611739354772367E-2</v>
      </c>
      <c r="Q41" s="1">
        <v>6.2418773364570128E-2</v>
      </c>
      <c r="R41" s="1">
        <v>-0.15116564677035221</v>
      </c>
      <c r="S41" s="1">
        <v>1.8878758547616531E-2</v>
      </c>
      <c r="T41" s="1">
        <v>-4.1054651220702593E-2</v>
      </c>
      <c r="U41" s="1">
        <v>-0.10776362109302309</v>
      </c>
      <c r="V41" s="2">
        <v>-0.22252988997200041</v>
      </c>
      <c r="W41" s="1">
        <v>-7.1555459696805601E-2</v>
      </c>
      <c r="X41" s="1">
        <v>-0.14887077496358411</v>
      </c>
      <c r="Y41" s="1">
        <v>1.08024878954381E-2</v>
      </c>
      <c r="Z41" s="2">
        <v>0.27277699243213849</v>
      </c>
      <c r="AA41" s="1">
        <v>3.8187700274273529E-3</v>
      </c>
      <c r="AB41" s="1">
        <v>-4.0133562883290161E-2</v>
      </c>
      <c r="AC41" s="1">
        <v>1.486242417838967E-2</v>
      </c>
      <c r="AD41" s="1">
        <v>-0.11610048058712839</v>
      </c>
      <c r="AE41" s="2">
        <v>0.37179575722208691</v>
      </c>
      <c r="AF41" s="2">
        <v>0.19745230080962831</v>
      </c>
      <c r="AG41" s="1">
        <v>0.1579641813585424</v>
      </c>
      <c r="AH41" s="1">
        <v>3.8592592804396787E-2</v>
      </c>
      <c r="AI41" s="1">
        <v>1.5252948201393619E-2</v>
      </c>
      <c r="AJ41" s="1">
        <v>4.2155209779405227E-2</v>
      </c>
      <c r="AK41" s="1">
        <v>1.8116680965950038E-2</v>
      </c>
      <c r="AL41" s="1">
        <v>2.7283675480561449E-2</v>
      </c>
      <c r="AM41" s="1">
        <v>9.661554590524439E-2</v>
      </c>
      <c r="AN41" s="1">
        <v>-7.786250723822807E-3</v>
      </c>
      <c r="AO41" s="1">
        <v>-9.7024245304849072E-2</v>
      </c>
      <c r="AP41" s="1">
        <v>4.6980538362617778E-2</v>
      </c>
      <c r="AQ41" s="1">
        <v>-3.4550777771456223E-2</v>
      </c>
      <c r="AR41" s="1">
        <v>7.0288869341376473E-2</v>
      </c>
      <c r="AS41" s="1">
        <v>-1.148455444117426E-2</v>
      </c>
      <c r="AT41" s="1">
        <v>0.1197754412667645</v>
      </c>
      <c r="AU41" s="1">
        <v>2.7725516618496881E-2</v>
      </c>
      <c r="AV41" s="1">
        <v>5.4370347281820067E-2</v>
      </c>
      <c r="AW41" s="2">
        <v>0.17040572065832271</v>
      </c>
      <c r="AX41" s="1">
        <v>-7.008506591773829E-2</v>
      </c>
      <c r="AY41" s="1">
        <v>2.4304791454083891E-2</v>
      </c>
      <c r="AZ41" s="2">
        <v>-0.1582517652586137</v>
      </c>
      <c r="BA41" s="2">
        <v>-0.17204640164441409</v>
      </c>
      <c r="BB41" s="1">
        <v>-5.7890191033609817E-2</v>
      </c>
      <c r="BC41" s="1">
        <v>-3.7402785294347728E-2</v>
      </c>
      <c r="BD41" s="1">
        <v>4.4565635226117707E-2</v>
      </c>
      <c r="BE41" s="1">
        <v>5.6354238262926369E-2</v>
      </c>
      <c r="BF41" s="1">
        <v>3.2769575819149389E-2</v>
      </c>
      <c r="BG41" s="1">
        <v>-8.7385313974898734E-3</v>
      </c>
      <c r="BH41" s="1">
        <v>3.7239702307380628E-3</v>
      </c>
      <c r="BI41" s="1">
        <v>-6.4017562815958662E-2</v>
      </c>
      <c r="BJ41" s="1">
        <v>4.9278942329162127E-2</v>
      </c>
      <c r="BK41" s="2">
        <v>-0.1854134415278702</v>
      </c>
      <c r="BL41" s="1">
        <v>5.090712006061502E-2</v>
      </c>
      <c r="BM41" s="1">
        <v>2.5222077880928329E-2</v>
      </c>
      <c r="BN41" s="1">
        <v>2.4972797644496308E-2</v>
      </c>
      <c r="BO41" s="1">
        <v>5.0856152689204501E-2</v>
      </c>
      <c r="BP41" s="2">
        <v>-0.21273119406231061</v>
      </c>
      <c r="BQ41" s="1">
        <v>-6.5147632481028894E-2</v>
      </c>
      <c r="BR41" s="1">
        <v>2.7203344633626569E-2</v>
      </c>
      <c r="BS41" s="1">
        <v>-7.7411134720396504E-3</v>
      </c>
      <c r="BT41" s="1">
        <v>8.6404734269774297E-2</v>
      </c>
      <c r="BU41" s="1">
        <v>-7.1673501740765228E-2</v>
      </c>
      <c r="BV41" s="1">
        <v>-2.9912276318130419E-2</v>
      </c>
      <c r="BW41" s="1">
        <v>3.8772822569813292E-2</v>
      </c>
      <c r="BX41" s="1">
        <v>-9.6714965041544909E-4</v>
      </c>
      <c r="BY41" s="1">
        <v>1.232453454658748E-2</v>
      </c>
      <c r="BZ41" s="1">
        <v>-2.77366837380634E-2</v>
      </c>
      <c r="CA41" s="1">
        <v>9.2047753958229422E-3</v>
      </c>
      <c r="CB41" s="1">
        <v>5.7936936038898669E-3</v>
      </c>
      <c r="CC41" s="1">
        <v>-4.1138082216332421E-5</v>
      </c>
      <c r="CD41" s="1">
        <v>-8.1649857022292438E-2</v>
      </c>
      <c r="CE41" s="1">
        <v>6.8723034943487513E-2</v>
      </c>
      <c r="CF41" s="1">
        <v>-1.6466556315312769E-2</v>
      </c>
      <c r="CG41" s="1">
        <v>7.4897078037921092E-3</v>
      </c>
      <c r="CH41" s="1">
        <v>0.1191471583278622</v>
      </c>
      <c r="CI41" s="1">
        <v>-0.1234186450515365</v>
      </c>
      <c r="CJ41" s="1">
        <v>0.14386116545388439</v>
      </c>
      <c r="CK41" s="1">
        <v>-4.476046701987027E-2</v>
      </c>
    </row>
    <row r="42" spans="1:89" s="6" customFormat="1" ht="32.25" customHeight="1" x14ac:dyDescent="0.2">
      <c r="C42" s="6">
        <f>C7+C18+C27+C38-C9-C20-C40</f>
        <v>2.0649961795261826</v>
      </c>
      <c r="E42" s="6">
        <f>-E25</f>
        <v>0.17081070914326191</v>
      </c>
      <c r="F42" s="6">
        <f>F37+F36+F17+F16+F6+F5-F12-F23</f>
        <v>1.6087551523567736</v>
      </c>
      <c r="G42" s="6">
        <f>-G34-G22-G14-G11-G3+G9+G20+G40</f>
        <v>1.42921034713852</v>
      </c>
      <c r="H42" s="6">
        <f>-H22-H11-H4+H10+H12+H21+H23+H28+H31+H41</f>
        <v>3.1621580671760325</v>
      </c>
      <c r="I42" s="6">
        <f>I38+I36+I35+I25+I18+I16+I15+I7+I5+I4-I8-I19-I29-I39</f>
        <v>3.0611274037242806</v>
      </c>
      <c r="J42" s="6">
        <f>J38+J36+J35+J18+J16+J15+J7+J5+J4</f>
        <v>1.9303808541530698</v>
      </c>
      <c r="K42" s="6">
        <f>-K34-K14-K3</f>
        <v>0.84097835299084855</v>
      </c>
      <c r="L42" s="6">
        <f>+L34+L14+L3</f>
        <v>0.42166816661171247</v>
      </c>
      <c r="M42" s="6">
        <f>+M40+M36+M20+M16+M9+M5-M3-M12-M14-M23-M34</f>
        <v>2.8612934199786362</v>
      </c>
      <c r="N42" s="6">
        <f>+N36+N16+N5</f>
        <v>0.87981996683560026</v>
      </c>
      <c r="O42" s="6">
        <f>-O36-O16-O5</f>
        <v>0.54587947408634152</v>
      </c>
      <c r="P42" s="6">
        <f>P24</f>
        <v>0.16165227328178081</v>
      </c>
      <c r="Q42" s="6">
        <f>-Q34-Q25-Q22-Q14-Q11-Q3</f>
        <v>1.4359177860518968</v>
      </c>
      <c r="R42" s="6">
        <f>-R40-R26-R20+R24+R29</f>
        <v>1.1668758900899248</v>
      </c>
      <c r="S42" s="6">
        <f>-S35-S15-S4</f>
        <v>0.6666020144907393</v>
      </c>
      <c r="U42" s="6">
        <f>-U34-U14-U3</f>
        <v>0.84097835299084855</v>
      </c>
      <c r="V42" s="6">
        <f>-V41-V39-V38-V26-V21-V19-V18-V10-V8-V7+V9+V20+V40</f>
        <v>4.0877442769289081</v>
      </c>
      <c r="W42" s="6">
        <f>W40+W20+W9</f>
        <v>0.81106543553570587</v>
      </c>
      <c r="Y42" s="6">
        <f>Y27</f>
        <v>0.17086603237989309</v>
      </c>
      <c r="Z42" s="6">
        <f>+Z41+Z40+Z38+Z34+Z21+Z20+Z18+Z14+Z10+Z9+Z7+Z3</f>
        <v>3.6368269675660967</v>
      </c>
      <c r="AA42" s="6">
        <f>+AA34+AA25+AA14+AA3</f>
        <v>1.3682904324117682</v>
      </c>
      <c r="AB42" s="6">
        <f>+AB35+AB28+AB15+AB4-AB29</f>
        <v>1.0598888154027679</v>
      </c>
      <c r="AC42" s="6">
        <f>AC40+AC20+AC9-AC11-AC22</f>
        <v>0.81869059025326629</v>
      </c>
      <c r="AD42" s="6">
        <f>+AD35+AD29+AD15+AD4</f>
        <v>0.73723211313531012</v>
      </c>
      <c r="AE42" s="6">
        <f>+AE41+AE35+AE24+AE22+AE21+AE15+AE11+AE10+AE4-AE8-AE19-AE39</f>
        <v>2.7524246011442961</v>
      </c>
      <c r="AF42" s="6">
        <f>AF41+AF21+AF10-AF27</f>
        <v>0.76705863096221971</v>
      </c>
      <c r="AI42" s="6">
        <f>-AI4-AI15-AI35+AI5+AI16+AI36</f>
        <v>1.7246519972269487</v>
      </c>
      <c r="AJ42" s="6">
        <f>-AJ4-AJ15-AJ35+AJ5+AJ16+AJ36</f>
        <v>1.3058177496408583</v>
      </c>
      <c r="AL42" s="6">
        <f>AL8+AL19+AL24+AL39-AL11-AL22-AL26</f>
        <v>1.6214553428501648</v>
      </c>
      <c r="AM42" s="6">
        <f>AM39+AM19+AM8</f>
        <v>0.69978364161102391</v>
      </c>
      <c r="AO42" s="6">
        <f>-AO39-AO19-AO8</f>
        <v>0.68333411614683093</v>
      </c>
      <c r="AP42" s="6">
        <f>AP39+AP19+AP8</f>
        <v>0.53197442382072202</v>
      </c>
      <c r="AQ42" s="6">
        <f>AQ5+AQ12+AQ16+AQ23+AQ36-AQ8-AQ19-AQ39</f>
        <v>1.7727084851729948</v>
      </c>
      <c r="AR42" s="6">
        <f>AR39+AR19+AR8</f>
        <v>0.80470924478420913</v>
      </c>
      <c r="AT42" s="6">
        <f>AT40+AT29+AT20+AT9</f>
        <v>0.25459710110755018</v>
      </c>
      <c r="AV42" s="6">
        <f>AV36+AV34+AV16+AV14+AV5+AV3</f>
        <v>1.0232815848108683</v>
      </c>
      <c r="AW42" s="6">
        <f>-AW38-AW37-AW18-AW17-AW7-AW6+AW10+AW21+AW41</f>
        <v>2.4333783475699144</v>
      </c>
      <c r="AX42" s="6">
        <f>-AX37-AX17-AX6+AX12+AX23</f>
        <v>0.89218684282744232</v>
      </c>
      <c r="AY42" s="6">
        <f>+AY35+AY15+AY4-AY31</f>
        <v>0.81450920631404955</v>
      </c>
      <c r="AZ42" s="6">
        <f>-AZ41-AZ38-AZ21-AZ18-AZ10-AZ7</f>
        <v>1.039868117344386</v>
      </c>
      <c r="BA42" s="6">
        <f>-BA41-BA37-BA21-BA17-BA10-BA6</f>
        <v>1.0599901746733533</v>
      </c>
      <c r="BB42" s="6">
        <f>+BB38+BB18+BB7-BB6-BB17-BB37</f>
        <v>1.0220142039286648</v>
      </c>
      <c r="BC42" s="6">
        <f>-BC37-BC17-BC6+BC12+BC23</f>
        <v>0.93914193840881077</v>
      </c>
      <c r="BD42" s="6">
        <f>-BD32-BD30-BD25+BD11+BD12+BD22+BD23</f>
        <v>1.2420973730104963</v>
      </c>
      <c r="BE42" s="6">
        <f>-BE32+BE30+BE28+BE23+BE12</f>
        <v>1.0933950347131796</v>
      </c>
      <c r="BG42" s="6">
        <f>BG32+BG30</f>
        <v>0.40422309881981122</v>
      </c>
      <c r="BH42" s="6">
        <f>BH32+BH30</f>
        <v>0.3599780087754712</v>
      </c>
      <c r="BI42" s="6">
        <f>BI32</f>
        <v>0.4448721662444533</v>
      </c>
      <c r="BJ42" s="6">
        <f>BJ23+BJ12</f>
        <v>0.450877848923876</v>
      </c>
      <c r="BK42" s="6">
        <f>-BK41-BK21-BK10+BK31</f>
        <v>0.69913464355106714</v>
      </c>
      <c r="BL42" s="6">
        <f>BL34+BL14+BL3</f>
        <v>0.40219371346082944</v>
      </c>
      <c r="BM42" s="6">
        <f>BM25</f>
        <v>0.18067130770795109</v>
      </c>
      <c r="BN42" s="6">
        <f>BN25</f>
        <v>0.21720347794813011</v>
      </c>
      <c r="BO42" s="6">
        <f>BO29+BO23+BO22+BO12+BO11-BO32</f>
        <v>1.2388072150889267</v>
      </c>
      <c r="BP42" s="6">
        <f>+BP40+BP39+BP38+BP37+BP20+BP19+BP18+BP17+BP9+BP8+BP7+BP6-BP21-BP30-BP41-BP10</f>
        <v>4.0612036334743973</v>
      </c>
      <c r="BQ42" s="6">
        <f>+BQ38+BQ24+BQ18+BQ7</f>
        <v>0.73299361132916818</v>
      </c>
      <c r="BR42" s="6">
        <f>BR30</f>
        <v>0.13819601340098919</v>
      </c>
      <c r="BT42" s="6">
        <f>-BT26-BT29-BT30-BT31</f>
        <v>0.98109944883264022</v>
      </c>
      <c r="BU42" s="6">
        <f>BU26+BU29+BU30+BU31</f>
        <v>1.0176228430347662</v>
      </c>
      <c r="BZ42" s="6">
        <f>BZ31-BZ32-BZ28-BZ27-BZ26-BZ24</f>
        <v>1.539745514347542</v>
      </c>
      <c r="CA42" s="6">
        <f>CA32+CA28+CA27+CA26-CA31</f>
        <v>1.0781781366991263</v>
      </c>
      <c r="CB42" s="6">
        <f>CB37+CB28+CB17-CB24-CB26</f>
        <v>1.3184549440862456</v>
      </c>
      <c r="CC42" s="6">
        <f>-CC28+CC24</f>
        <v>0.66429571789055197</v>
      </c>
      <c r="CD42" s="6">
        <f>+CD37+CD26+CD17+CD6-CD11-CD22-CD27</f>
        <v>1.9962323065382122</v>
      </c>
      <c r="CE42" s="6">
        <f>CE27+CE22+CE11-CE26</f>
        <v>1.269185788562003</v>
      </c>
      <c r="CF42" s="6">
        <f>+CF37+CF30+CF17+CF6-CF24-CF27-CF31</f>
        <v>1.636969660097835</v>
      </c>
      <c r="CG42" s="6">
        <f>CG31-CG30</f>
        <v>0.61978402927237775</v>
      </c>
      <c r="CH42" s="6">
        <f>-CH32-CH28+CH27+CH25</f>
        <v>1.1117004371809298</v>
      </c>
      <c r="CI42" s="6">
        <f>CI32+CI28-CI27-CI25</f>
        <v>1.048338845886293</v>
      </c>
      <c r="CJ42" s="6">
        <f>-CJ31-CJ28-CJ24+CJ25+CJ29</f>
        <v>1.2462307795188035</v>
      </c>
      <c r="CK42" s="6">
        <f>-CK29</f>
        <v>0.15335322881760599</v>
      </c>
    </row>
    <row r="43" spans="1:89" s="7" customFormat="1" ht="32.25" customHeight="1" x14ac:dyDescent="0.2">
      <c r="C43" s="7">
        <v>12</v>
      </c>
      <c r="E43" s="7">
        <v>2</v>
      </c>
      <c r="F43" s="7">
        <v>15</v>
      </c>
      <c r="G43" s="7">
        <v>15</v>
      </c>
      <c r="H43" s="7">
        <v>20</v>
      </c>
      <c r="I43" s="7">
        <v>27</v>
      </c>
      <c r="J43" s="7">
        <v>19</v>
      </c>
      <c r="K43" s="7">
        <v>7</v>
      </c>
      <c r="L43" s="7">
        <v>7</v>
      </c>
      <c r="M43" s="7">
        <v>21</v>
      </c>
      <c r="N43" s="7">
        <v>6</v>
      </c>
      <c r="O43" s="7">
        <v>6</v>
      </c>
      <c r="P43" s="7">
        <v>2</v>
      </c>
      <c r="Q43" s="7">
        <v>12</v>
      </c>
      <c r="R43" s="7">
        <v>9</v>
      </c>
      <c r="S43" s="7">
        <v>7</v>
      </c>
      <c r="U43" s="7">
        <v>7</v>
      </c>
      <c r="V43" s="7">
        <v>22</v>
      </c>
      <c r="W43" s="7">
        <v>5</v>
      </c>
      <c r="Y43" s="7">
        <v>1</v>
      </c>
      <c r="Z43" s="7">
        <v>23</v>
      </c>
      <c r="AA43" s="7">
        <v>9</v>
      </c>
      <c r="AB43" s="7">
        <v>9</v>
      </c>
      <c r="AC43" s="7">
        <v>8</v>
      </c>
      <c r="AD43" s="7">
        <v>8</v>
      </c>
      <c r="AE43" s="7">
        <v>22</v>
      </c>
      <c r="AF43" s="7">
        <v>6</v>
      </c>
      <c r="AI43" s="7">
        <v>13</v>
      </c>
      <c r="AJ43" s="7">
        <v>13</v>
      </c>
      <c r="AL43" s="7">
        <v>11</v>
      </c>
      <c r="AM43" s="7">
        <v>5</v>
      </c>
      <c r="AO43" s="7">
        <v>5</v>
      </c>
      <c r="AP43" s="7">
        <v>5</v>
      </c>
      <c r="AQ43" s="7">
        <v>14</v>
      </c>
      <c r="AR43" s="7">
        <v>5</v>
      </c>
      <c r="AT43" s="7">
        <v>6</v>
      </c>
      <c r="AV43" s="7">
        <v>13</v>
      </c>
      <c r="AW43" s="7">
        <v>17</v>
      </c>
      <c r="AX43" s="7">
        <v>9</v>
      </c>
      <c r="AY43" s="7">
        <v>8</v>
      </c>
      <c r="AZ43" s="7">
        <v>11</v>
      </c>
      <c r="BA43" s="7">
        <v>11</v>
      </c>
      <c r="BB43" s="7">
        <v>12</v>
      </c>
      <c r="BC43" s="7">
        <v>9</v>
      </c>
      <c r="BD43" s="7">
        <v>10</v>
      </c>
      <c r="BE43" s="7">
        <v>6</v>
      </c>
      <c r="BG43" s="7">
        <v>2</v>
      </c>
      <c r="BH43" s="7">
        <v>2</v>
      </c>
      <c r="BI43" s="7">
        <v>1</v>
      </c>
      <c r="BJ43" s="7">
        <v>3</v>
      </c>
      <c r="BK43" s="7">
        <v>6</v>
      </c>
      <c r="BL43" s="7">
        <v>7</v>
      </c>
      <c r="BM43" s="7">
        <v>2</v>
      </c>
      <c r="BN43" s="7">
        <v>2</v>
      </c>
      <c r="BO43" s="7">
        <v>8</v>
      </c>
      <c r="BP43" s="7">
        <v>28</v>
      </c>
      <c r="BQ43" s="7">
        <v>8</v>
      </c>
      <c r="BR43" s="7">
        <v>1</v>
      </c>
      <c r="BT43" s="7">
        <v>4</v>
      </c>
      <c r="BU43" s="7">
        <v>4</v>
      </c>
      <c r="BZ43" s="7">
        <v>7</v>
      </c>
      <c r="CA43" s="7">
        <v>5</v>
      </c>
      <c r="CB43" s="7">
        <v>10</v>
      </c>
      <c r="CC43" s="7">
        <v>3</v>
      </c>
      <c r="CD43" s="7">
        <v>11</v>
      </c>
      <c r="CE43" s="7">
        <v>5</v>
      </c>
      <c r="CF43" s="7">
        <v>11</v>
      </c>
      <c r="CG43" s="7">
        <v>2</v>
      </c>
      <c r="CH43" s="7">
        <v>5</v>
      </c>
      <c r="CI43" s="7">
        <v>5</v>
      </c>
      <c r="CJ43" s="7">
        <v>7</v>
      </c>
      <c r="CK43" s="7">
        <v>1</v>
      </c>
    </row>
    <row r="44" spans="1:89" x14ac:dyDescent="0.2">
      <c r="C44" s="1">
        <v>2.0649961795261826</v>
      </c>
      <c r="E44" s="1">
        <v>0.17081070914326191</v>
      </c>
      <c r="F44" s="1">
        <v>1.6087551523567736</v>
      </c>
      <c r="G44" s="1">
        <v>1.42921034713852</v>
      </c>
      <c r="H44" s="1">
        <v>3.1621580671760325</v>
      </c>
      <c r="I44" s="1">
        <v>3.0611274037242806</v>
      </c>
      <c r="J44" s="1">
        <v>1.9303808541530698</v>
      </c>
      <c r="K44" s="1">
        <v>0.84097835299084855</v>
      </c>
      <c r="L44" s="1">
        <v>0.42166816661171247</v>
      </c>
      <c r="M44" s="1">
        <v>2.8612934199786362</v>
      </c>
      <c r="N44" s="1">
        <v>0.87981996683560026</v>
      </c>
      <c r="O44" s="1">
        <v>0.54587947408634152</v>
      </c>
      <c r="P44" s="1">
        <v>0.16165227328178081</v>
      </c>
      <c r="Q44" s="1">
        <v>1.4359177860518968</v>
      </c>
      <c r="R44" s="1">
        <v>1.1668758900899248</v>
      </c>
      <c r="S44" s="1">
        <v>0.6666020144907393</v>
      </c>
      <c r="U44" s="1">
        <v>0.84097835299084855</v>
      </c>
      <c r="V44" s="1">
        <v>4.0877442769289081</v>
      </c>
      <c r="W44" s="1">
        <v>0.81106543553570587</v>
      </c>
      <c r="Y44" s="1">
        <v>0.17086603237989309</v>
      </c>
      <c r="Z44" s="1">
        <v>3.6368269675660967</v>
      </c>
      <c r="AA44" s="1">
        <v>1.3682904324117682</v>
      </c>
      <c r="AB44" s="1">
        <v>1.0598888154027679</v>
      </c>
      <c r="AC44" s="1">
        <v>0.81869059025326629</v>
      </c>
      <c r="AD44" s="1">
        <v>0.73723211313531012</v>
      </c>
      <c r="AE44" s="1">
        <v>2.7524246011442961</v>
      </c>
      <c r="AF44" s="1">
        <v>0.76705863096221971</v>
      </c>
      <c r="AI44" s="1">
        <v>1.7246519972269487</v>
      </c>
      <c r="AJ44" s="1">
        <v>1.3058177496408583</v>
      </c>
      <c r="AL44" s="1">
        <v>1.6214553428501648</v>
      </c>
      <c r="AM44" s="1">
        <v>0.69978364161102391</v>
      </c>
      <c r="AO44" s="1">
        <v>0.68333411614683093</v>
      </c>
      <c r="AP44" s="1">
        <v>0.53197442382072202</v>
      </c>
      <c r="AQ44" s="1">
        <v>1.7727084851729948</v>
      </c>
      <c r="AR44" s="1">
        <v>0.80470924478420913</v>
      </c>
      <c r="AT44" s="1">
        <v>0.25459710110755018</v>
      </c>
      <c r="AV44" s="1">
        <v>1.0232815848108683</v>
      </c>
      <c r="AW44" s="1">
        <v>2.4333783475699144</v>
      </c>
      <c r="AX44" s="1">
        <v>0.89218684282744232</v>
      </c>
      <c r="AY44" s="1">
        <v>0.81450920631404955</v>
      </c>
      <c r="AZ44" s="1">
        <v>1.039868117344386</v>
      </c>
      <c r="BA44" s="1">
        <v>1.0599901746733533</v>
      </c>
      <c r="BB44" s="1">
        <v>1.0220142039286648</v>
      </c>
      <c r="BC44" s="1">
        <v>0.93914193840881077</v>
      </c>
      <c r="BD44" s="1">
        <v>1.2420973730104963</v>
      </c>
      <c r="BE44" s="1">
        <v>1.0933950347131796</v>
      </c>
      <c r="BG44" s="1">
        <v>0.40422309881981122</v>
      </c>
      <c r="BH44" s="1">
        <v>0.3599780087754712</v>
      </c>
      <c r="BI44" s="1">
        <v>0.4448721662444533</v>
      </c>
      <c r="BJ44" s="1">
        <v>0.450877848923876</v>
      </c>
      <c r="BK44" s="1">
        <v>0.69913464355106714</v>
      </c>
      <c r="BL44" s="1">
        <v>0.40219371346082944</v>
      </c>
      <c r="BM44" s="1">
        <v>0.18067130770795109</v>
      </c>
      <c r="BN44" s="1">
        <v>0.21720347794813011</v>
      </c>
      <c r="BO44" s="1">
        <v>1.2388072150889267</v>
      </c>
      <c r="BP44" s="1">
        <v>4.0612036334743973</v>
      </c>
      <c r="BQ44" s="1">
        <v>0.73299361132916818</v>
      </c>
      <c r="BR44" s="1">
        <v>0.13819601340098919</v>
      </c>
      <c r="BT44" s="1">
        <v>0.98109944883264022</v>
      </c>
      <c r="BU44" s="1">
        <v>1.0176228430347662</v>
      </c>
      <c r="BZ44" s="1">
        <v>1.539745514347542</v>
      </c>
      <c r="CA44" s="1">
        <v>1.0781781366991263</v>
      </c>
      <c r="CB44" s="1">
        <v>1.3184549440862456</v>
      </c>
      <c r="CC44" s="1">
        <v>0.66429571789055197</v>
      </c>
      <c r="CD44" s="1">
        <v>1.9962323065382122</v>
      </c>
      <c r="CE44" s="1">
        <v>1.269185788562003</v>
      </c>
      <c r="CF44" s="1">
        <v>1.636969660097835</v>
      </c>
      <c r="CG44" s="1">
        <v>0.61978402927237775</v>
      </c>
      <c r="CH44" s="1">
        <v>1.1117004371809298</v>
      </c>
      <c r="CI44" s="1">
        <v>1.048338845886293</v>
      </c>
      <c r="CJ44" s="1">
        <v>1.2462307795188035</v>
      </c>
      <c r="CK44" s="1">
        <v>0.15335322881760599</v>
      </c>
    </row>
    <row r="45" spans="1:89" x14ac:dyDescent="0.2">
      <c r="C45" s="1">
        <v>12</v>
      </c>
      <c r="E45" s="1">
        <v>2</v>
      </c>
      <c r="F45" s="1">
        <v>15</v>
      </c>
      <c r="G45" s="1">
        <v>15</v>
      </c>
      <c r="H45" s="1">
        <v>20</v>
      </c>
      <c r="I45" s="1">
        <v>27</v>
      </c>
      <c r="J45" s="1">
        <v>19</v>
      </c>
      <c r="K45" s="1">
        <v>7</v>
      </c>
      <c r="L45" s="1">
        <v>7</v>
      </c>
      <c r="M45" s="1">
        <v>21</v>
      </c>
      <c r="N45" s="1">
        <v>6</v>
      </c>
      <c r="O45" s="1">
        <v>6</v>
      </c>
      <c r="P45" s="1">
        <v>2</v>
      </c>
      <c r="Q45" s="1">
        <v>12</v>
      </c>
      <c r="R45" s="1">
        <v>9</v>
      </c>
      <c r="S45" s="1">
        <v>7</v>
      </c>
      <c r="U45" s="1">
        <v>7</v>
      </c>
      <c r="V45" s="1">
        <v>22</v>
      </c>
      <c r="W45" s="1">
        <v>5</v>
      </c>
      <c r="Y45" s="1">
        <v>1</v>
      </c>
      <c r="Z45" s="1">
        <v>23</v>
      </c>
      <c r="AA45" s="1">
        <v>9</v>
      </c>
      <c r="AB45" s="1">
        <v>9</v>
      </c>
      <c r="AC45" s="1">
        <v>8</v>
      </c>
      <c r="AD45" s="1">
        <v>8</v>
      </c>
      <c r="AE45" s="1">
        <v>22</v>
      </c>
      <c r="AF45" s="1">
        <v>6</v>
      </c>
      <c r="AI45" s="1">
        <v>13</v>
      </c>
      <c r="AJ45" s="1">
        <v>13</v>
      </c>
      <c r="AL45" s="1">
        <v>11</v>
      </c>
      <c r="AM45" s="1">
        <v>5</v>
      </c>
      <c r="AO45" s="1">
        <v>5</v>
      </c>
      <c r="AP45" s="1">
        <v>5</v>
      </c>
      <c r="AQ45" s="1">
        <v>14</v>
      </c>
      <c r="AR45" s="1">
        <v>5</v>
      </c>
      <c r="AT45" s="1">
        <v>6</v>
      </c>
      <c r="AV45" s="1">
        <v>13</v>
      </c>
      <c r="AW45" s="1">
        <v>17</v>
      </c>
      <c r="AX45" s="1">
        <v>9</v>
      </c>
      <c r="AY45" s="1">
        <v>8</v>
      </c>
      <c r="AZ45" s="1">
        <v>11</v>
      </c>
      <c r="BA45" s="1">
        <v>11</v>
      </c>
      <c r="BB45" s="1">
        <v>12</v>
      </c>
      <c r="BC45" s="1">
        <v>9</v>
      </c>
      <c r="BD45" s="1">
        <v>10</v>
      </c>
      <c r="BE45" s="1">
        <v>6</v>
      </c>
      <c r="BG45" s="1">
        <v>2</v>
      </c>
      <c r="BH45" s="1">
        <v>2</v>
      </c>
      <c r="BI45" s="1">
        <v>1</v>
      </c>
      <c r="BJ45" s="1">
        <v>3</v>
      </c>
      <c r="BK45" s="1">
        <v>6</v>
      </c>
      <c r="BL45" s="1">
        <v>7</v>
      </c>
      <c r="BM45" s="1">
        <v>2</v>
      </c>
      <c r="BN45" s="1">
        <v>2</v>
      </c>
      <c r="BO45" s="1">
        <v>8</v>
      </c>
      <c r="BP45" s="1">
        <v>28</v>
      </c>
      <c r="BQ45" s="1">
        <v>8</v>
      </c>
      <c r="BR45" s="1">
        <v>1</v>
      </c>
      <c r="BT45" s="1">
        <v>4</v>
      </c>
      <c r="BU45" s="1">
        <v>4</v>
      </c>
      <c r="BZ45" s="1">
        <v>7</v>
      </c>
      <c r="CA45" s="1">
        <v>5</v>
      </c>
      <c r="CB45" s="1">
        <v>10</v>
      </c>
      <c r="CC45" s="1">
        <v>3</v>
      </c>
      <c r="CD45" s="1">
        <v>11</v>
      </c>
      <c r="CE45" s="1">
        <v>5</v>
      </c>
      <c r="CF45" s="1">
        <v>11</v>
      </c>
      <c r="CG45" s="1">
        <v>2</v>
      </c>
      <c r="CH45" s="1">
        <v>5</v>
      </c>
      <c r="CI45" s="1">
        <v>5</v>
      </c>
      <c r="CJ45" s="1">
        <v>7</v>
      </c>
      <c r="CK45" s="1">
        <v>1</v>
      </c>
    </row>
  </sheetData>
  <mergeCells count="3">
    <mergeCell ref="A3:A12"/>
    <mergeCell ref="A14:A32"/>
    <mergeCell ref="A34:A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C44E-F184-4BA4-A4D6-8032A9ACD34A}">
  <sheetPr codeName="Sheet5"/>
  <dimension ref="A1:CK15"/>
  <sheetViews>
    <sheetView zoomScale="160" zoomScaleNormal="160" workbookViewId="0">
      <selection activeCell="N20" sqref="N20"/>
    </sheetView>
  </sheetViews>
  <sheetFormatPr defaultRowHeight="15" x14ac:dyDescent="0.2"/>
  <cols>
    <col min="1" max="2" width="9" style="1"/>
    <col min="3" max="7" width="9.125" style="1" bestFit="1" customWidth="1"/>
    <col min="8" max="8" width="10.75" style="1" customWidth="1"/>
    <col min="9" max="88" width="9.125" style="1" bestFit="1" customWidth="1"/>
    <col min="89" max="89" width="11.625" style="1" bestFit="1" customWidth="1"/>
    <col min="90" max="16384" width="9" style="1"/>
  </cols>
  <sheetData>
    <row r="1" spans="1:89" x14ac:dyDescent="0.2"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109</v>
      </c>
      <c r="J1" s="4" t="s">
        <v>110</v>
      </c>
      <c r="K1" s="4" t="s">
        <v>31</v>
      </c>
      <c r="L1" s="4" t="s">
        <v>32</v>
      </c>
      <c r="M1" s="4" t="s">
        <v>114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111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120</v>
      </c>
      <c r="AF1" s="4" t="s">
        <v>51</v>
      </c>
      <c r="AG1" s="4" t="s">
        <v>52</v>
      </c>
      <c r="AH1" s="4" t="s">
        <v>53</v>
      </c>
      <c r="AI1" s="4" t="s">
        <v>116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4" t="s">
        <v>74</v>
      </c>
      <c r="BD1" s="4" t="s">
        <v>75</v>
      </c>
      <c r="BE1" s="4" t="s">
        <v>76</v>
      </c>
      <c r="BF1" s="4" t="s">
        <v>77</v>
      </c>
      <c r="BG1" s="4" t="s">
        <v>78</v>
      </c>
      <c r="BH1" s="4" t="s">
        <v>79</v>
      </c>
      <c r="BI1" s="4" t="s">
        <v>80</v>
      </c>
      <c r="BJ1" s="4" t="s">
        <v>81</v>
      </c>
      <c r="BK1" s="5" t="s">
        <v>82</v>
      </c>
      <c r="BL1" s="5" t="s">
        <v>83</v>
      </c>
      <c r="BM1" s="5" t="s">
        <v>84</v>
      </c>
      <c r="BN1" s="5" t="s">
        <v>85</v>
      </c>
      <c r="BO1" s="5" t="s">
        <v>86</v>
      </c>
      <c r="BP1" s="4" t="s">
        <v>118</v>
      </c>
      <c r="BQ1" s="4" t="s">
        <v>88</v>
      </c>
      <c r="BR1" s="5" t="s">
        <v>89</v>
      </c>
      <c r="BS1" s="5" t="s">
        <v>90</v>
      </c>
      <c r="BT1" s="5" t="s">
        <v>91</v>
      </c>
      <c r="BU1" s="5" t="s">
        <v>92</v>
      </c>
      <c r="BV1" s="5" t="s">
        <v>93</v>
      </c>
      <c r="BW1" s="5" t="s">
        <v>94</v>
      </c>
      <c r="BX1" s="5" t="s">
        <v>95</v>
      </c>
      <c r="BY1" s="5" t="s">
        <v>96</v>
      </c>
      <c r="BZ1" s="5" t="s">
        <v>97</v>
      </c>
      <c r="CA1" s="5" t="s">
        <v>98</v>
      </c>
      <c r="CB1" s="5" t="s">
        <v>99</v>
      </c>
      <c r="CC1" s="5" t="s">
        <v>100</v>
      </c>
      <c r="CD1" s="5" t="s">
        <v>101</v>
      </c>
      <c r="CE1" s="5" t="s">
        <v>102</v>
      </c>
      <c r="CF1" s="5" t="s">
        <v>103</v>
      </c>
      <c r="CG1" s="5" t="s">
        <v>104</v>
      </c>
      <c r="CH1" s="5" t="s">
        <v>105</v>
      </c>
      <c r="CI1" s="5" t="s">
        <v>106</v>
      </c>
      <c r="CJ1" s="5" t="s">
        <v>107</v>
      </c>
      <c r="CK1" s="5" t="s">
        <v>108</v>
      </c>
    </row>
    <row r="2" spans="1:89" x14ac:dyDescent="0.2"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>
        <v>81</v>
      </c>
      <c r="CG2" s="1">
        <v>82</v>
      </c>
      <c r="CH2" s="1">
        <v>83</v>
      </c>
      <c r="CI2" s="1">
        <v>84</v>
      </c>
      <c r="CJ2" s="1">
        <v>85</v>
      </c>
      <c r="CK2" s="1">
        <v>86</v>
      </c>
    </row>
    <row r="3" spans="1:89" x14ac:dyDescent="0.25">
      <c r="A3" s="10" t="s">
        <v>5</v>
      </c>
      <c r="B3" s="1" t="s">
        <v>0</v>
      </c>
      <c r="C3" s="8">
        <v>-4.0200021092800707E-2</v>
      </c>
      <c r="D3" s="8">
        <v>-3.3344903574671507E-2</v>
      </c>
      <c r="E3" s="8">
        <v>-2.2767892527374101E-2</v>
      </c>
      <c r="F3" s="8">
        <v>-8.8407656904273491E-2</v>
      </c>
      <c r="G3" s="9">
        <v>-0.17315036900413211</v>
      </c>
      <c r="H3" s="8">
        <v>-0.10268687256341311</v>
      </c>
      <c r="I3" s="8">
        <v>-9.0440054161246911E-2</v>
      </c>
      <c r="J3" s="8">
        <v>-0.10373918712387301</v>
      </c>
      <c r="K3" s="9">
        <v>-0.2803261176636162</v>
      </c>
      <c r="L3" s="9">
        <v>0.14055605553723749</v>
      </c>
      <c r="M3" s="9">
        <v>-0.1644950986366833</v>
      </c>
      <c r="N3" s="8">
        <v>-4.4740034829181499E-2</v>
      </c>
      <c r="O3" s="8">
        <v>-7.6833329716718815E-2</v>
      </c>
      <c r="P3" s="8">
        <v>4.1704476250050811E-2</v>
      </c>
      <c r="Q3" s="9">
        <v>-0.28539250199219529</v>
      </c>
      <c r="R3" s="8">
        <v>7.859934108587611E-4</v>
      </c>
      <c r="S3" s="8">
        <v>-0.11291244254466019</v>
      </c>
      <c r="T3" s="8">
        <v>9.0531097836712385E-2</v>
      </c>
      <c r="U3" s="9">
        <v>-0.2803261176636162</v>
      </c>
      <c r="V3" s="8">
        <v>4.7998884599768449E-2</v>
      </c>
      <c r="W3" s="8">
        <v>-8.3473164475629191E-2</v>
      </c>
      <c r="X3" s="8">
        <v>0.12752361803967349</v>
      </c>
      <c r="Y3" s="8">
        <v>-1.519362128221882E-2</v>
      </c>
      <c r="Z3" s="9">
        <v>0.51544589990597034</v>
      </c>
      <c r="AA3" s="9">
        <v>0.38746109027946068</v>
      </c>
      <c r="AB3" s="8">
        <v>-4.0477269274874772E-2</v>
      </c>
      <c r="AC3" s="8">
        <v>-8.8001246909383851E-2</v>
      </c>
      <c r="AD3" s="8">
        <v>5.9658851930328931E-2</v>
      </c>
      <c r="AE3" s="8">
        <v>-0.1038351214262081</v>
      </c>
      <c r="AF3" s="8">
        <v>-5.4499456998105822E-2</v>
      </c>
      <c r="AG3" s="8">
        <v>-4.9628485201039123E-2</v>
      </c>
      <c r="AH3" s="8">
        <v>-1.310409404563774E-2</v>
      </c>
      <c r="AI3" s="8">
        <v>5.8622539315669991E-2</v>
      </c>
      <c r="AJ3" s="8">
        <v>7.4633163182063353E-2</v>
      </c>
      <c r="AK3" s="8">
        <v>4.0081245309579877E-3</v>
      </c>
      <c r="AL3" s="8">
        <v>-3.013435522311779E-2</v>
      </c>
      <c r="AM3" s="8">
        <v>-6.0665772917252577E-3</v>
      </c>
      <c r="AN3" s="8">
        <v>3.9392868843175451E-2</v>
      </c>
      <c r="AO3" s="8">
        <v>1.311099613155875E-2</v>
      </c>
      <c r="AP3" s="8">
        <v>6.5769859716974299E-2</v>
      </c>
      <c r="AQ3" s="8">
        <v>0.10953857522320599</v>
      </c>
      <c r="AR3" s="8">
        <v>-4.2688380660396343E-3</v>
      </c>
      <c r="AS3" s="8">
        <v>5.83650443839096E-3</v>
      </c>
      <c r="AT3" s="8">
        <v>-0.10722923216917481</v>
      </c>
      <c r="AU3" s="8">
        <v>9.6732923191815944E-3</v>
      </c>
      <c r="AV3" s="9">
        <v>0.1436327631422934</v>
      </c>
      <c r="AW3" s="8">
        <v>5.3873781724458599E-4</v>
      </c>
      <c r="AX3" s="8">
        <v>1.6706640918635361E-2</v>
      </c>
      <c r="AY3" s="8">
        <v>3.0818158122725269E-2</v>
      </c>
      <c r="AZ3" s="8">
        <v>8.659051891943241E-2</v>
      </c>
      <c r="BA3" s="8">
        <v>-3.8286039915175027E-2</v>
      </c>
      <c r="BB3" s="8">
        <v>-9.0328870812615036E-2</v>
      </c>
      <c r="BC3" s="8">
        <v>-4.9260413172021247E-2</v>
      </c>
      <c r="BD3" s="8">
        <v>-2.5208843330562881E-2</v>
      </c>
      <c r="BE3" s="8">
        <v>-1.9945454076086111E-2</v>
      </c>
      <c r="BF3" s="8">
        <v>-1.612672771612883E-2</v>
      </c>
      <c r="BG3" s="8">
        <v>-1.6191737017223571E-3</v>
      </c>
      <c r="BH3" s="8">
        <v>5.9469030303650966E-3</v>
      </c>
      <c r="BI3" s="8">
        <v>-5.8127659270914048E-4</v>
      </c>
      <c r="BJ3" s="8">
        <v>-2.2147521804059898E-2</v>
      </c>
      <c r="BK3" s="8">
        <v>0.1051492976228393</v>
      </c>
      <c r="BL3" s="9">
        <v>0.13406457115360981</v>
      </c>
      <c r="BM3" s="8">
        <v>-0.1222805842069478</v>
      </c>
      <c r="BN3" s="8">
        <v>-4.7433678412367751E-2</v>
      </c>
      <c r="BO3" s="8">
        <v>4.2068950248680632E-2</v>
      </c>
      <c r="BP3" s="8">
        <v>-1.4844038311841549E-3</v>
      </c>
      <c r="BQ3" s="8">
        <v>1.705555025861432E-2</v>
      </c>
      <c r="BR3" s="8">
        <v>4.4909113763630097E-2</v>
      </c>
      <c r="BS3" s="8">
        <v>-1.8776971308673038E-2</v>
      </c>
      <c r="BT3" s="8">
        <v>2.9038584621400309E-2</v>
      </c>
      <c r="BU3" s="8">
        <v>-2.5852196853774261E-2</v>
      </c>
      <c r="BV3" s="8">
        <v>1.873478210756567E-2</v>
      </c>
      <c r="BW3" s="8">
        <v>-2.1366062220947338E-2</v>
      </c>
      <c r="BX3" s="8">
        <v>2.3413505787315079E-2</v>
      </c>
      <c r="BY3" s="8">
        <v>-1.2843381264615671E-2</v>
      </c>
      <c r="BZ3" s="8">
        <v>2.6080650312438652E-2</v>
      </c>
      <c r="CA3" s="8">
        <v>-1.9776749544552469E-2</v>
      </c>
      <c r="CB3" s="8">
        <v>4.5824306730629948E-2</v>
      </c>
      <c r="CC3" s="8">
        <v>-3.3907664948808217E-2</v>
      </c>
      <c r="CD3" s="8">
        <v>1.6499284206065772E-2</v>
      </c>
      <c r="CE3" s="8">
        <v>-5.1681800026986526E-3</v>
      </c>
      <c r="CF3" s="8">
        <v>8.6991692733040422E-3</v>
      </c>
      <c r="CG3" s="8">
        <v>4.3145714471859572E-3</v>
      </c>
      <c r="CH3" s="8">
        <v>7.2592175185398336E-3</v>
      </c>
      <c r="CI3" s="8">
        <v>4.2604351929346048E-3</v>
      </c>
      <c r="CJ3" s="8">
        <v>3.2800275975416092E-2</v>
      </c>
      <c r="CK3" s="8">
        <v>-9.9754206688408408E-3</v>
      </c>
    </row>
    <row r="4" spans="1:89" x14ac:dyDescent="0.25">
      <c r="A4" s="10"/>
      <c r="B4" s="1" t="s">
        <v>1</v>
      </c>
      <c r="C4" s="8">
        <v>-8.4940933199852964E-2</v>
      </c>
      <c r="D4" s="8">
        <v>0.1018471710509377</v>
      </c>
      <c r="E4" s="8">
        <v>8.3295683803165557E-2</v>
      </c>
      <c r="F4" s="8">
        <v>-4.2436834848235572E-2</v>
      </c>
      <c r="G4" s="8">
        <v>-0.1073893839922567</v>
      </c>
      <c r="H4" s="9">
        <v>-0.32171021641840603</v>
      </c>
      <c r="I4" s="9">
        <v>0.33018789121434722</v>
      </c>
      <c r="J4" s="9">
        <v>0.30512398177133532</v>
      </c>
      <c r="K4" s="8">
        <v>1.613285376179651E-2</v>
      </c>
      <c r="L4" s="8">
        <v>-7.2684989198729399E-2</v>
      </c>
      <c r="M4" s="8">
        <v>-0.14870638635831199</v>
      </c>
      <c r="N4" s="8">
        <v>-0.13426619480281049</v>
      </c>
      <c r="O4" s="8">
        <v>8.4411370426889828E-2</v>
      </c>
      <c r="P4" s="8">
        <v>-0.13379191161606621</v>
      </c>
      <c r="Q4" s="8">
        <v>1.416275649284831E-3</v>
      </c>
      <c r="R4" s="8">
        <v>-0.1292371246356625</v>
      </c>
      <c r="S4" s="9">
        <v>-0.22220067149691311</v>
      </c>
      <c r="T4" s="8">
        <v>5.0244446292136223E-2</v>
      </c>
      <c r="U4" s="8">
        <v>1.6132853761796451E-2</v>
      </c>
      <c r="V4" s="8">
        <v>-8.6179206991334231E-2</v>
      </c>
      <c r="W4" s="8">
        <v>-0.13052455324769779</v>
      </c>
      <c r="X4" s="8">
        <v>1.5951284021018228E-2</v>
      </c>
      <c r="Y4" s="8">
        <v>-4.1947592297665363E-2</v>
      </c>
      <c r="Z4" s="8">
        <v>-3.1782989004050848E-2</v>
      </c>
      <c r="AA4" s="8">
        <v>-2.4474358350680629E-2</v>
      </c>
      <c r="AB4" s="9">
        <v>0.25182557095648039</v>
      </c>
      <c r="AC4" s="8">
        <v>0.12967156458829601</v>
      </c>
      <c r="AD4" s="9">
        <v>0.20103572481684009</v>
      </c>
      <c r="AE4" s="9">
        <v>0.17922739827315379</v>
      </c>
      <c r="AF4" s="8">
        <v>0.13931445453337979</v>
      </c>
      <c r="AG4" s="8">
        <v>0.13734613754412309</v>
      </c>
      <c r="AH4" s="8">
        <v>5.4395585998910853E-2</v>
      </c>
      <c r="AI4" s="9">
        <v>-0.20577427641368989</v>
      </c>
      <c r="AJ4" s="9">
        <v>-0.17456653585543019</v>
      </c>
      <c r="AK4" s="8">
        <v>1.401441412302726E-2</v>
      </c>
      <c r="AL4" s="8">
        <v>3.966831708386407E-2</v>
      </c>
      <c r="AM4" s="8">
        <v>8.5269327569348088E-2</v>
      </c>
      <c r="AN4" s="8">
        <v>2.9121697574202871E-3</v>
      </c>
      <c r="AO4" s="8">
        <v>-8.3864870885593426E-2</v>
      </c>
      <c r="AP4" s="8">
        <v>0.16407220975195369</v>
      </c>
      <c r="AQ4" s="8">
        <v>4.5651813154616028E-2</v>
      </c>
      <c r="AR4" s="8">
        <v>6.8226215725564462E-2</v>
      </c>
      <c r="AS4" s="8">
        <v>1.9787286566987782E-3</v>
      </c>
      <c r="AT4" s="8">
        <v>-8.6555015284134465E-2</v>
      </c>
      <c r="AU4" s="8">
        <v>-0.17050148016528879</v>
      </c>
      <c r="AV4" s="8">
        <v>-2.4903413191822051E-2</v>
      </c>
      <c r="AW4" s="8">
        <v>1.8945613821419519E-2</v>
      </c>
      <c r="AX4" s="8">
        <v>4.7772487573231423E-2</v>
      </c>
      <c r="AY4" s="9">
        <v>0.22350765255514249</v>
      </c>
      <c r="AZ4" s="8">
        <v>0.12921560505518129</v>
      </c>
      <c r="BA4" s="8">
        <v>0.1566135826142612</v>
      </c>
      <c r="BB4" s="8">
        <v>3.3197511227017813E-2</v>
      </c>
      <c r="BC4" s="8">
        <v>-7.6231096088375042E-2</v>
      </c>
      <c r="BD4" s="8">
        <v>2.0401402152747342E-2</v>
      </c>
      <c r="BE4" s="8">
        <v>-4.8795340613224783E-2</v>
      </c>
      <c r="BF4" s="8">
        <v>-1.3490864763575619E-2</v>
      </c>
      <c r="BG4" s="8">
        <v>-1.3314343720228369E-2</v>
      </c>
      <c r="BH4" s="8">
        <v>-7.7136100575805706E-3</v>
      </c>
      <c r="BI4" s="8">
        <v>-1.027274773427677E-2</v>
      </c>
      <c r="BJ4" s="8">
        <v>-2.9269637487180249E-2</v>
      </c>
      <c r="BK4" s="8">
        <v>7.0372244262880843E-2</v>
      </c>
      <c r="BL4" s="8">
        <v>6.772523211680069E-2</v>
      </c>
      <c r="BM4" s="8">
        <v>-9.9385992399658618E-2</v>
      </c>
      <c r="BN4" s="8">
        <v>-2.582796541759786E-2</v>
      </c>
      <c r="BO4" s="8">
        <v>3.4779141292637789E-2</v>
      </c>
      <c r="BP4" s="8">
        <v>-2.5899414423164829E-2</v>
      </c>
      <c r="BQ4" s="8">
        <v>-2.787889341786259E-2</v>
      </c>
      <c r="BR4" s="8">
        <v>5.0486520404519161E-2</v>
      </c>
      <c r="BS4" s="8">
        <v>-1.6387840235134388E-2</v>
      </c>
      <c r="BT4" s="8">
        <v>1.380782857418706E-2</v>
      </c>
      <c r="BU4" s="8">
        <v>9.0149138288775615E-3</v>
      </c>
      <c r="BV4" s="8">
        <v>2.2478499234861931E-2</v>
      </c>
      <c r="BW4" s="8">
        <v>-1.2552615780671159E-2</v>
      </c>
      <c r="BX4" s="8">
        <v>1.2392386926629719E-2</v>
      </c>
      <c r="BY4" s="8">
        <v>6.0429518092163671E-3</v>
      </c>
      <c r="BZ4" s="8">
        <v>-8.5825580232337228E-3</v>
      </c>
      <c r="CA4" s="8">
        <v>7.5604398801906456E-3</v>
      </c>
      <c r="CB4" s="8">
        <v>-1.6581151480283531E-2</v>
      </c>
      <c r="CC4" s="8">
        <v>1.7927282627569111E-2</v>
      </c>
      <c r="CD4" s="8">
        <v>-5.4925481355908952E-3</v>
      </c>
      <c r="CE4" s="8">
        <v>9.1956985068411545E-3</v>
      </c>
      <c r="CF4" s="8">
        <v>-1.221741034810171E-2</v>
      </c>
      <c r="CG4" s="8">
        <v>1.382583195010967E-2</v>
      </c>
      <c r="CH4" s="8">
        <v>3.4695556734736177E-2</v>
      </c>
      <c r="CI4" s="8">
        <v>-3.3654022577769629E-2</v>
      </c>
      <c r="CJ4" s="8">
        <v>5.7916794245565194E-4</v>
      </c>
      <c r="CK4" s="8">
        <v>6.2468028466688126E-5</v>
      </c>
    </row>
    <row r="6" spans="1:89" x14ac:dyDescent="0.2">
      <c r="A6" s="10" t="s">
        <v>8</v>
      </c>
      <c r="B6" s="1" t="s">
        <v>0</v>
      </c>
      <c r="C6" s="1">
        <v>-4.0200021092800707E-2</v>
      </c>
      <c r="D6" s="1">
        <v>-3.3344903574671507E-2</v>
      </c>
      <c r="E6" s="1">
        <v>-2.2767892527374101E-2</v>
      </c>
      <c r="F6" s="1">
        <v>-8.8407656904273491E-2</v>
      </c>
      <c r="G6" s="2">
        <v>-0.17315036900413211</v>
      </c>
      <c r="H6" s="1">
        <v>-0.10268687256341311</v>
      </c>
      <c r="I6" s="1">
        <v>-9.0440054161246911E-2</v>
      </c>
      <c r="J6" s="1">
        <v>-0.10373918712387301</v>
      </c>
      <c r="K6" s="2">
        <v>-0.2803261176636162</v>
      </c>
      <c r="L6" s="2">
        <v>0.14055605553723749</v>
      </c>
      <c r="M6" s="2">
        <v>-0.1644950986366833</v>
      </c>
      <c r="N6" s="1">
        <v>-4.4740034829181499E-2</v>
      </c>
      <c r="O6" s="1">
        <v>-7.6833329716718815E-2</v>
      </c>
      <c r="P6" s="1">
        <v>4.1704476250050811E-2</v>
      </c>
      <c r="Q6" s="2">
        <v>-0.28539250199219529</v>
      </c>
      <c r="R6" s="1">
        <v>7.859934108587611E-4</v>
      </c>
      <c r="S6" s="1">
        <v>-0.11291244254466019</v>
      </c>
      <c r="T6" s="1">
        <v>9.0531097836712385E-2</v>
      </c>
      <c r="U6" s="2">
        <v>-0.2803261176636162</v>
      </c>
      <c r="V6" s="1">
        <v>4.7998884599768449E-2</v>
      </c>
      <c r="W6" s="1">
        <v>-8.3473164475629191E-2</v>
      </c>
      <c r="X6" s="1">
        <v>0.12752361803967349</v>
      </c>
      <c r="Y6" s="1">
        <v>-1.519362128221882E-2</v>
      </c>
      <c r="Z6" s="2">
        <v>0.51544589990597034</v>
      </c>
      <c r="AA6" s="2">
        <v>0.38746109027946068</v>
      </c>
      <c r="AB6" s="1">
        <v>-4.0477269274874772E-2</v>
      </c>
      <c r="AC6" s="1">
        <v>-8.8001246909383851E-2</v>
      </c>
      <c r="AD6" s="1">
        <v>5.9658851930328931E-2</v>
      </c>
      <c r="AE6" s="1">
        <v>-0.1038351214262081</v>
      </c>
      <c r="AF6" s="1">
        <v>-5.4499456998105822E-2</v>
      </c>
      <c r="AG6" s="1">
        <v>-4.9628485201039123E-2</v>
      </c>
      <c r="AH6" s="1">
        <v>-1.310409404563774E-2</v>
      </c>
      <c r="AI6" s="1">
        <v>5.8622539315669991E-2</v>
      </c>
      <c r="AJ6" s="1">
        <v>7.4633163182063353E-2</v>
      </c>
      <c r="AK6" s="1">
        <v>4.0081245309579877E-3</v>
      </c>
      <c r="AL6" s="1">
        <v>-3.013435522311779E-2</v>
      </c>
      <c r="AM6" s="1">
        <v>-6.0665772917252577E-3</v>
      </c>
      <c r="AN6" s="1">
        <v>3.9392868843175451E-2</v>
      </c>
      <c r="AO6" s="1">
        <v>1.311099613155875E-2</v>
      </c>
      <c r="AP6" s="1">
        <v>6.5769859716974299E-2</v>
      </c>
      <c r="AQ6" s="1">
        <v>0.10953857522320599</v>
      </c>
      <c r="AR6" s="1">
        <v>-4.2688380660396343E-3</v>
      </c>
      <c r="AS6" s="1">
        <v>5.83650443839096E-3</v>
      </c>
      <c r="AT6" s="1">
        <v>-0.10722923216917481</v>
      </c>
      <c r="AU6" s="1">
        <v>9.6732923191815944E-3</v>
      </c>
      <c r="AV6" s="2">
        <v>0.1436327631422934</v>
      </c>
      <c r="AW6" s="1">
        <v>5.3873781724458599E-4</v>
      </c>
      <c r="AX6" s="1">
        <v>1.6706640918635361E-2</v>
      </c>
      <c r="AY6" s="1">
        <v>3.0818158122725269E-2</v>
      </c>
      <c r="AZ6" s="1">
        <v>8.659051891943241E-2</v>
      </c>
      <c r="BA6" s="1">
        <v>-3.8286039915175027E-2</v>
      </c>
      <c r="BB6" s="1">
        <v>-9.0328870812615036E-2</v>
      </c>
      <c r="BC6" s="1">
        <v>-4.9260413172021247E-2</v>
      </c>
      <c r="BD6" s="1">
        <v>-2.5208843330562881E-2</v>
      </c>
      <c r="BE6" s="1">
        <v>-1.9945454076086111E-2</v>
      </c>
      <c r="BF6" s="1">
        <v>-1.612672771612883E-2</v>
      </c>
      <c r="BG6" s="1">
        <v>-1.6191737017223571E-3</v>
      </c>
      <c r="BH6" s="1">
        <v>5.9469030303650966E-3</v>
      </c>
      <c r="BI6" s="1">
        <v>-5.8127659270914048E-4</v>
      </c>
      <c r="BJ6" s="1">
        <v>-2.2147521804059898E-2</v>
      </c>
      <c r="BK6" s="1">
        <v>0.1051492976228393</v>
      </c>
      <c r="BL6" s="2">
        <v>0.13406457115360981</v>
      </c>
      <c r="BM6" s="1">
        <v>-0.1222805842069478</v>
      </c>
      <c r="BN6" s="1">
        <v>-4.7433678412367751E-2</v>
      </c>
      <c r="BO6" s="1">
        <v>4.2068950248680632E-2</v>
      </c>
      <c r="BP6" s="1">
        <v>-1.4844038311841549E-3</v>
      </c>
      <c r="BQ6" s="1">
        <v>1.705555025861432E-2</v>
      </c>
      <c r="BR6" s="1">
        <v>4.4909113763630097E-2</v>
      </c>
      <c r="BS6" s="1">
        <v>-1.8776971308673038E-2</v>
      </c>
      <c r="BT6" s="1">
        <v>2.9038584621400309E-2</v>
      </c>
      <c r="BU6" s="1">
        <v>-2.5852196853774261E-2</v>
      </c>
      <c r="BV6" s="1">
        <v>1.873478210756567E-2</v>
      </c>
      <c r="BW6" s="1">
        <v>-2.1366062220947338E-2</v>
      </c>
      <c r="BX6" s="1">
        <v>2.3413505787315079E-2</v>
      </c>
      <c r="BY6" s="1">
        <v>-1.2843381264615671E-2</v>
      </c>
      <c r="BZ6" s="1">
        <v>2.6080650312438652E-2</v>
      </c>
      <c r="CA6" s="1">
        <v>-1.9776749544552469E-2</v>
      </c>
      <c r="CB6" s="1">
        <v>4.5824306730629948E-2</v>
      </c>
      <c r="CC6" s="1">
        <v>-3.3907664948808217E-2</v>
      </c>
      <c r="CD6" s="1">
        <v>1.6499284206065772E-2</v>
      </c>
      <c r="CE6" s="1">
        <v>-5.1681800026986526E-3</v>
      </c>
      <c r="CF6" s="1">
        <v>8.6991692733040422E-3</v>
      </c>
      <c r="CG6" s="1">
        <v>4.3145714471859572E-3</v>
      </c>
      <c r="CH6" s="1">
        <v>7.2592175185398336E-3</v>
      </c>
      <c r="CI6" s="1">
        <v>4.2604351929346048E-3</v>
      </c>
      <c r="CJ6" s="1">
        <v>3.2800275975416092E-2</v>
      </c>
      <c r="CK6" s="1">
        <v>-9.9754206688408408E-3</v>
      </c>
    </row>
    <row r="7" spans="1:89" x14ac:dyDescent="0.2">
      <c r="A7" s="10"/>
      <c r="B7" s="1" t="s">
        <v>1</v>
      </c>
      <c r="C7" s="1">
        <v>-8.4940933199852964E-2</v>
      </c>
      <c r="D7" s="1">
        <v>0.1018471710509377</v>
      </c>
      <c r="E7" s="1">
        <v>8.3295683803165557E-2</v>
      </c>
      <c r="F7" s="1">
        <v>-4.2436834848235572E-2</v>
      </c>
      <c r="G7" s="1">
        <v>-0.1073893839922567</v>
      </c>
      <c r="H7" s="2">
        <v>-0.32171021641840603</v>
      </c>
      <c r="I7" s="2">
        <v>0.33018789121434722</v>
      </c>
      <c r="J7" s="2">
        <v>0.30512398177133532</v>
      </c>
      <c r="K7" s="1">
        <v>1.613285376179651E-2</v>
      </c>
      <c r="L7" s="1">
        <v>-7.2684989198729399E-2</v>
      </c>
      <c r="M7" s="1">
        <v>-0.14870638635831199</v>
      </c>
      <c r="N7" s="1">
        <v>-0.13426619480281049</v>
      </c>
      <c r="O7" s="1">
        <v>8.4411370426889828E-2</v>
      </c>
      <c r="P7" s="1">
        <v>-0.13379191161606621</v>
      </c>
      <c r="Q7" s="1">
        <v>1.416275649284831E-3</v>
      </c>
      <c r="R7" s="1">
        <v>-0.1292371246356625</v>
      </c>
      <c r="S7" s="2">
        <v>-0.22220067149691311</v>
      </c>
      <c r="T7" s="1">
        <v>5.0244446292136223E-2</v>
      </c>
      <c r="U7" s="1">
        <v>1.6132853761796451E-2</v>
      </c>
      <c r="V7" s="1">
        <v>-8.6179206991334231E-2</v>
      </c>
      <c r="W7" s="1">
        <v>-0.13052455324769779</v>
      </c>
      <c r="X7" s="1">
        <v>1.5951284021018228E-2</v>
      </c>
      <c r="Y7" s="1">
        <v>-4.1947592297665363E-2</v>
      </c>
      <c r="Z7" s="1">
        <v>-3.1782989004050848E-2</v>
      </c>
      <c r="AA7" s="1">
        <v>-2.4474358350680629E-2</v>
      </c>
      <c r="AB7" s="2">
        <v>0.25182557095648039</v>
      </c>
      <c r="AC7" s="1">
        <v>0.12967156458829601</v>
      </c>
      <c r="AD7" s="2">
        <v>0.20103572481684009</v>
      </c>
      <c r="AE7" s="2">
        <v>0.17922739827315379</v>
      </c>
      <c r="AF7" s="1">
        <v>0.13931445453337979</v>
      </c>
      <c r="AG7" s="1">
        <v>0.13734613754412309</v>
      </c>
      <c r="AH7" s="1">
        <v>5.4395585998910853E-2</v>
      </c>
      <c r="AI7" s="2">
        <v>-0.20577427641368989</v>
      </c>
      <c r="AJ7" s="2">
        <v>-0.17456653585543019</v>
      </c>
      <c r="AK7" s="1">
        <v>1.401441412302726E-2</v>
      </c>
      <c r="AL7" s="1">
        <v>3.966831708386407E-2</v>
      </c>
      <c r="AM7" s="1">
        <v>8.5269327569348088E-2</v>
      </c>
      <c r="AN7" s="1">
        <v>2.9121697574202871E-3</v>
      </c>
      <c r="AO7" s="1">
        <v>-8.3864870885593426E-2</v>
      </c>
      <c r="AP7" s="1">
        <v>0.16407220975195369</v>
      </c>
      <c r="AQ7" s="1">
        <v>4.5651813154616028E-2</v>
      </c>
      <c r="AR7" s="1">
        <v>6.8226215725564462E-2</v>
      </c>
      <c r="AS7" s="1">
        <v>1.9787286566987782E-3</v>
      </c>
      <c r="AT7" s="1">
        <v>-8.6555015284134465E-2</v>
      </c>
      <c r="AU7" s="1">
        <v>-0.17050148016528879</v>
      </c>
      <c r="AV7" s="1">
        <v>-2.4903413191822051E-2</v>
      </c>
      <c r="AW7" s="1">
        <v>1.8945613821419519E-2</v>
      </c>
      <c r="AX7" s="1">
        <v>4.7772487573231423E-2</v>
      </c>
      <c r="AY7" s="2">
        <v>0.22350765255514249</v>
      </c>
      <c r="AZ7" s="1">
        <v>0.12921560505518129</v>
      </c>
      <c r="BA7" s="1">
        <v>0.1566135826142612</v>
      </c>
      <c r="BB7" s="1">
        <v>3.3197511227017813E-2</v>
      </c>
      <c r="BC7" s="1">
        <v>-7.6231096088375042E-2</v>
      </c>
      <c r="BD7" s="1">
        <v>2.0401402152747342E-2</v>
      </c>
      <c r="BE7" s="1">
        <v>-4.8795340613224783E-2</v>
      </c>
      <c r="BF7" s="1">
        <v>-1.3490864763575619E-2</v>
      </c>
      <c r="BG7" s="1">
        <v>-1.3314343720228369E-2</v>
      </c>
      <c r="BH7" s="1">
        <v>-7.7136100575805706E-3</v>
      </c>
      <c r="BI7" s="1">
        <v>-1.027274773427677E-2</v>
      </c>
      <c r="BJ7" s="1">
        <v>-2.9269637487180249E-2</v>
      </c>
      <c r="BK7" s="1">
        <v>7.0372244262880843E-2</v>
      </c>
      <c r="BL7" s="1">
        <v>6.772523211680069E-2</v>
      </c>
      <c r="BM7" s="1">
        <v>-9.9385992399658618E-2</v>
      </c>
      <c r="BN7" s="1">
        <v>-2.582796541759786E-2</v>
      </c>
      <c r="BO7" s="1">
        <v>3.4779141292637789E-2</v>
      </c>
      <c r="BP7" s="1">
        <v>-2.5899414423164829E-2</v>
      </c>
      <c r="BQ7" s="1">
        <v>-2.787889341786259E-2</v>
      </c>
      <c r="BR7" s="1">
        <v>5.0486520404519161E-2</v>
      </c>
      <c r="BS7" s="1">
        <v>-1.6387840235134388E-2</v>
      </c>
      <c r="BT7" s="1">
        <v>1.380782857418706E-2</v>
      </c>
      <c r="BU7" s="1">
        <v>9.0149138288775615E-3</v>
      </c>
      <c r="BV7" s="1">
        <v>2.2478499234861931E-2</v>
      </c>
      <c r="BW7" s="1">
        <v>-1.2552615780671159E-2</v>
      </c>
      <c r="BX7" s="1">
        <v>1.2392386926629719E-2</v>
      </c>
      <c r="BY7" s="1">
        <v>6.0429518092163671E-3</v>
      </c>
      <c r="BZ7" s="1">
        <v>-8.5825580232337228E-3</v>
      </c>
      <c r="CA7" s="1">
        <v>7.5604398801906456E-3</v>
      </c>
      <c r="CB7" s="1">
        <v>-1.6581151480283531E-2</v>
      </c>
      <c r="CC7" s="1">
        <v>1.7927282627569111E-2</v>
      </c>
      <c r="CD7" s="1">
        <v>-5.4925481355908952E-3</v>
      </c>
      <c r="CE7" s="1">
        <v>9.1956985068411545E-3</v>
      </c>
      <c r="CF7" s="1">
        <v>-1.221741034810171E-2</v>
      </c>
      <c r="CG7" s="1">
        <v>1.382583195010967E-2</v>
      </c>
      <c r="CH7" s="1">
        <v>3.4695556734736177E-2</v>
      </c>
      <c r="CI7" s="1">
        <v>-3.3654022577769629E-2</v>
      </c>
      <c r="CJ7" s="1">
        <v>5.7916794245565194E-4</v>
      </c>
      <c r="CK7" s="1">
        <v>6.2468028466688126E-5</v>
      </c>
    </row>
    <row r="8" spans="1:89" x14ac:dyDescent="0.2">
      <c r="A8" s="10"/>
      <c r="B8" s="1" t="s">
        <v>2</v>
      </c>
      <c r="C8" s="1">
        <v>-2.8272287026681071E-2</v>
      </c>
      <c r="D8" s="1">
        <v>-2.0933118451374878E-3</v>
      </c>
      <c r="E8" s="1">
        <v>-1.4814364550016191E-3</v>
      </c>
      <c r="F8" s="2">
        <v>0.21488403828870961</v>
      </c>
      <c r="G8" s="1">
        <v>-7.2974886085576229E-2</v>
      </c>
      <c r="H8" s="1">
        <v>-3.7457732195159128E-3</v>
      </c>
      <c r="I8" s="2">
        <v>0.22324381570037269</v>
      </c>
      <c r="J8" s="2">
        <v>0.19995324034355469</v>
      </c>
      <c r="K8" s="1">
        <v>-1.5750900112914131E-2</v>
      </c>
      <c r="L8" s="1">
        <v>5.3715600593448043E-2</v>
      </c>
      <c r="M8" s="2">
        <v>0.43268130606188659</v>
      </c>
      <c r="N8" s="2">
        <v>0.29327332227853342</v>
      </c>
      <c r="O8" s="2">
        <v>-0.18195982469544719</v>
      </c>
      <c r="P8" s="1">
        <v>0.13250928221129241</v>
      </c>
      <c r="Q8" s="1">
        <v>2.4470006113609211E-2</v>
      </c>
      <c r="R8" s="1">
        <v>9.1680301073981424E-2</v>
      </c>
      <c r="S8" s="1">
        <v>-8.4344381988774239E-2</v>
      </c>
      <c r="T8" s="1">
        <v>0.13738583666339141</v>
      </c>
      <c r="U8" s="1">
        <v>-1.575090011291428E-2</v>
      </c>
      <c r="V8" s="1">
        <v>-4.7874179096745503E-2</v>
      </c>
      <c r="W8" s="1">
        <v>-6.3284588380517176E-2</v>
      </c>
      <c r="X8" s="1">
        <v>7.6004734713246994E-2</v>
      </c>
      <c r="Y8" s="1">
        <v>4.6907215292158307E-2</v>
      </c>
      <c r="Z8" s="1">
        <v>-6.0402811124922413E-2</v>
      </c>
      <c r="AA8" s="1">
        <v>-4.5120062217086573E-2</v>
      </c>
      <c r="AB8" s="1">
        <v>0.14773777339141411</v>
      </c>
      <c r="AC8" s="1">
        <v>1.147139109778658E-2</v>
      </c>
      <c r="AD8" s="1">
        <v>0.12712631717942829</v>
      </c>
      <c r="AE8" s="1">
        <v>8.099646669202322E-2</v>
      </c>
      <c r="AF8" s="1">
        <v>1.43767897979824E-2</v>
      </c>
      <c r="AG8" s="1">
        <v>8.3345158011553941E-2</v>
      </c>
      <c r="AH8" s="1">
        <v>-3.1916174715424302E-2</v>
      </c>
      <c r="AI8" s="2">
        <v>0.36910972266195963</v>
      </c>
      <c r="AJ8" s="2">
        <v>0.26070604735818931</v>
      </c>
      <c r="AK8" s="1">
        <v>-2.6439900047421541E-2</v>
      </c>
      <c r="AL8" s="1">
        <v>-5.8085384419018421E-2</v>
      </c>
      <c r="AM8" s="1">
        <v>-4.4151304334499611E-2</v>
      </c>
      <c r="AN8" s="1">
        <v>6.1340613442836048E-2</v>
      </c>
      <c r="AO8" s="1">
        <v>5.4762741766614401E-2</v>
      </c>
      <c r="AP8" s="1">
        <v>5.1640020563369887E-2</v>
      </c>
      <c r="AQ8" s="2">
        <v>0.18760331652140169</v>
      </c>
      <c r="AR8" s="1">
        <v>-6.6677447599594555E-2</v>
      </c>
      <c r="AS8" s="1">
        <v>2.671619624462026E-3</v>
      </c>
      <c r="AT8" s="1">
        <v>-6.9797479544794927E-2</v>
      </c>
      <c r="AU8" s="1">
        <v>0.1265995878673595</v>
      </c>
      <c r="AV8" s="2">
        <v>0.19746109846132939</v>
      </c>
      <c r="AW8" s="1">
        <v>5.9764920493938493E-2</v>
      </c>
      <c r="AX8" s="1">
        <v>0.118446283117615</v>
      </c>
      <c r="AY8" s="1">
        <v>-3.9465855680395491E-2</v>
      </c>
      <c r="AZ8" s="1">
        <v>-1.457945507551725E-2</v>
      </c>
      <c r="BA8" s="1">
        <v>5.211646819451031E-2</v>
      </c>
      <c r="BB8" s="1">
        <v>0.11345619877547</v>
      </c>
      <c r="BC8" s="1">
        <v>7.2295788054814902E-2</v>
      </c>
      <c r="BD8" s="1">
        <v>-1.6526186653821211E-2</v>
      </c>
      <c r="BE8" s="1">
        <v>-2.5242137287225391E-2</v>
      </c>
      <c r="BF8" s="1">
        <v>-6.3982809435034538E-2</v>
      </c>
      <c r="BG8" s="1">
        <v>-3.6654307408848188E-2</v>
      </c>
      <c r="BH8" s="1">
        <v>-4.2995795518074767E-2</v>
      </c>
      <c r="BI8" s="1">
        <v>-2.2741924336738741E-2</v>
      </c>
      <c r="BJ8" s="1">
        <v>-6.2726486964709338E-2</v>
      </c>
      <c r="BK8" s="1">
        <v>9.8327332953655078E-3</v>
      </c>
      <c r="BL8" s="1">
        <v>0.1286953255778791</v>
      </c>
      <c r="BM8" s="1">
        <v>-5.964612841235651E-2</v>
      </c>
      <c r="BN8" s="1">
        <v>-8.5262883156046423E-2</v>
      </c>
      <c r="BO8" s="1">
        <v>-6.4166628490649982E-2</v>
      </c>
      <c r="BP8" s="1">
        <v>-5.3974794168660127E-2</v>
      </c>
      <c r="BQ8" s="1">
        <v>-2.5247707604631249E-2</v>
      </c>
      <c r="BR8" s="1">
        <v>1.805795527699975E-2</v>
      </c>
      <c r="BS8" s="1">
        <v>-1.8723911678324798E-2</v>
      </c>
      <c r="BT8" s="1">
        <v>7.5927118645691856E-3</v>
      </c>
      <c r="BU8" s="1">
        <v>-4.0909204689188329E-2</v>
      </c>
      <c r="BV8" s="1">
        <v>4.7282963639184203E-2</v>
      </c>
      <c r="BW8" s="1">
        <v>-7.1728793658636103E-2</v>
      </c>
      <c r="BX8" s="1">
        <v>3.1676121126085838E-2</v>
      </c>
      <c r="BY8" s="1">
        <v>-2.5261719947910159E-2</v>
      </c>
      <c r="BZ8" s="1">
        <v>9.2753735696072485E-3</v>
      </c>
      <c r="CA8" s="1">
        <v>-2.9487772724087841E-2</v>
      </c>
      <c r="CB8" s="1">
        <v>-6.4193666730587564E-3</v>
      </c>
      <c r="CC8" s="1">
        <v>-7.1247987246214391E-3</v>
      </c>
      <c r="CD8" s="1">
        <v>1.9379556050463501E-2</v>
      </c>
      <c r="CE8" s="1">
        <v>-2.7944033972159488E-2</v>
      </c>
      <c r="CF8" s="1">
        <v>-1.286334861485774E-2</v>
      </c>
      <c r="CG8" s="1">
        <v>1.099357072707878E-2</v>
      </c>
      <c r="CH8" s="1">
        <v>-3.9551301960437393E-2</v>
      </c>
      <c r="CI8" s="1">
        <v>4.0972948291802796E-3</v>
      </c>
      <c r="CJ8" s="1">
        <v>5.039425404715657E-3</v>
      </c>
      <c r="CK8" s="1">
        <v>-8.4569248983468147E-3</v>
      </c>
    </row>
    <row r="10" spans="1:89" x14ac:dyDescent="0.2">
      <c r="A10" s="10" t="s">
        <v>11</v>
      </c>
      <c r="B10" s="1" t="s">
        <v>0</v>
      </c>
      <c r="C10" s="1">
        <v>-4.0200021092800707E-2</v>
      </c>
      <c r="D10" s="1">
        <v>-3.3344903574671507E-2</v>
      </c>
      <c r="E10" s="1">
        <v>-2.2767892527374101E-2</v>
      </c>
      <c r="F10" s="1">
        <v>-8.8407656904273491E-2</v>
      </c>
      <c r="G10" s="2">
        <v>-0.17315036900413211</v>
      </c>
      <c r="H10" s="1">
        <v>-0.10268687256341311</v>
      </c>
      <c r="I10" s="1">
        <v>-9.0440054161246911E-2</v>
      </c>
      <c r="J10" s="1">
        <v>-0.10373918712387301</v>
      </c>
      <c r="K10" s="2">
        <v>-0.2803261176636162</v>
      </c>
      <c r="L10" s="2">
        <v>0.14055605553723749</v>
      </c>
      <c r="M10" s="2">
        <v>-0.1644950986366833</v>
      </c>
      <c r="N10" s="1">
        <v>-4.4740034829181499E-2</v>
      </c>
      <c r="O10" s="1">
        <v>-7.6833329716718815E-2</v>
      </c>
      <c r="P10" s="1">
        <v>4.1704476250050811E-2</v>
      </c>
      <c r="Q10" s="2">
        <v>-0.28539250199219529</v>
      </c>
      <c r="R10" s="1">
        <v>7.859934108587611E-4</v>
      </c>
      <c r="S10" s="1">
        <v>-0.11291244254466019</v>
      </c>
      <c r="T10" s="1">
        <v>9.0531097836712385E-2</v>
      </c>
      <c r="U10" s="2">
        <v>-0.2803261176636162</v>
      </c>
      <c r="V10" s="1">
        <v>4.7998884599768449E-2</v>
      </c>
      <c r="W10" s="1">
        <v>-8.3473164475629191E-2</v>
      </c>
      <c r="X10" s="1">
        <v>0.12752361803967349</v>
      </c>
      <c r="Y10" s="1">
        <v>-1.519362128221882E-2</v>
      </c>
      <c r="Z10" s="2">
        <v>0.51544589990597034</v>
      </c>
      <c r="AA10" s="2">
        <v>0.38746109027946068</v>
      </c>
      <c r="AB10" s="1">
        <v>-4.0477269274874772E-2</v>
      </c>
      <c r="AC10" s="1">
        <v>-8.8001246909383851E-2</v>
      </c>
      <c r="AD10" s="1">
        <v>5.9658851930328931E-2</v>
      </c>
      <c r="AE10" s="1">
        <v>-0.1038351214262081</v>
      </c>
      <c r="AF10" s="1">
        <v>-5.4499456998105822E-2</v>
      </c>
      <c r="AG10" s="1">
        <v>-4.9628485201039123E-2</v>
      </c>
      <c r="AH10" s="1">
        <v>-1.310409404563774E-2</v>
      </c>
      <c r="AI10" s="1">
        <v>5.8622539315669991E-2</v>
      </c>
      <c r="AJ10" s="1">
        <v>7.4633163182063353E-2</v>
      </c>
      <c r="AK10" s="1">
        <v>4.0081245309579877E-3</v>
      </c>
      <c r="AL10" s="1">
        <v>-3.013435522311779E-2</v>
      </c>
      <c r="AM10" s="1">
        <v>-6.0665772917252577E-3</v>
      </c>
      <c r="AN10" s="1">
        <v>3.9392868843175451E-2</v>
      </c>
      <c r="AO10" s="1">
        <v>1.311099613155875E-2</v>
      </c>
      <c r="AP10" s="1">
        <v>6.5769859716974299E-2</v>
      </c>
      <c r="AQ10" s="1">
        <v>0.10953857522320599</v>
      </c>
      <c r="AR10" s="1">
        <v>-4.2688380660396343E-3</v>
      </c>
      <c r="AS10" s="1">
        <v>5.83650443839096E-3</v>
      </c>
      <c r="AT10" s="1">
        <v>-0.10722923216917481</v>
      </c>
      <c r="AU10" s="1">
        <v>9.6732923191815944E-3</v>
      </c>
      <c r="AV10" s="2">
        <v>0.1436327631422934</v>
      </c>
      <c r="AW10" s="1">
        <v>5.3873781724458599E-4</v>
      </c>
      <c r="AX10" s="1">
        <v>1.6706640918635361E-2</v>
      </c>
      <c r="AY10" s="1">
        <v>3.0818158122725269E-2</v>
      </c>
      <c r="AZ10" s="1">
        <v>8.659051891943241E-2</v>
      </c>
      <c r="BA10" s="1">
        <v>-3.8286039915175027E-2</v>
      </c>
      <c r="BB10" s="1">
        <v>-9.0328870812615036E-2</v>
      </c>
      <c r="BC10" s="1">
        <v>-4.9260413172021247E-2</v>
      </c>
      <c r="BD10" s="1">
        <v>-2.5208843330562881E-2</v>
      </c>
      <c r="BE10" s="1">
        <v>-1.9945454076086111E-2</v>
      </c>
      <c r="BF10" s="1">
        <v>-1.612672771612883E-2</v>
      </c>
      <c r="BG10" s="1">
        <v>-1.6191737017223571E-3</v>
      </c>
      <c r="BH10" s="1">
        <v>5.9469030303650966E-3</v>
      </c>
      <c r="BI10" s="1">
        <v>-5.8127659270914048E-4</v>
      </c>
      <c r="BJ10" s="1">
        <v>-2.2147521804059898E-2</v>
      </c>
      <c r="BK10" s="1">
        <v>0.1051492976228393</v>
      </c>
      <c r="BL10" s="2">
        <v>0.13406457115360981</v>
      </c>
      <c r="BM10" s="1">
        <v>-0.1222805842069478</v>
      </c>
      <c r="BN10" s="1">
        <v>-4.7433678412367751E-2</v>
      </c>
      <c r="BO10" s="1">
        <v>4.2068950248680632E-2</v>
      </c>
      <c r="BP10" s="1">
        <v>-1.4844038311841549E-3</v>
      </c>
      <c r="BQ10" s="1">
        <v>1.705555025861432E-2</v>
      </c>
      <c r="BR10" s="1">
        <v>4.4909113763630097E-2</v>
      </c>
      <c r="BS10" s="1">
        <v>-1.8776971308673038E-2</v>
      </c>
      <c r="BT10" s="1">
        <v>2.9038584621400309E-2</v>
      </c>
      <c r="BU10" s="1">
        <v>-2.5852196853774261E-2</v>
      </c>
      <c r="BV10" s="1">
        <v>1.873478210756567E-2</v>
      </c>
      <c r="BW10" s="1">
        <v>-2.1366062220947338E-2</v>
      </c>
      <c r="BX10" s="1">
        <v>2.3413505787315079E-2</v>
      </c>
      <c r="BY10" s="1">
        <v>-1.2843381264615671E-2</v>
      </c>
      <c r="BZ10" s="1">
        <v>2.6080650312438652E-2</v>
      </c>
      <c r="CA10" s="1">
        <v>-1.9776749544552469E-2</v>
      </c>
      <c r="CB10" s="1">
        <v>4.5824306730629948E-2</v>
      </c>
      <c r="CC10" s="1">
        <v>-3.3907664948808217E-2</v>
      </c>
      <c r="CD10" s="1">
        <v>1.6499284206065772E-2</v>
      </c>
      <c r="CE10" s="1">
        <v>-5.1681800026986526E-3</v>
      </c>
      <c r="CF10" s="1">
        <v>8.6991692733040422E-3</v>
      </c>
      <c r="CG10" s="1">
        <v>4.3145714471859572E-3</v>
      </c>
      <c r="CH10" s="1">
        <v>7.2592175185398336E-3</v>
      </c>
      <c r="CI10" s="1">
        <v>4.2604351929346048E-3</v>
      </c>
      <c r="CJ10" s="1">
        <v>3.2800275975416092E-2</v>
      </c>
      <c r="CK10" s="1">
        <v>-9.9754206688408408E-3</v>
      </c>
    </row>
    <row r="11" spans="1:89" x14ac:dyDescent="0.2">
      <c r="A11" s="10"/>
      <c r="B11" s="1" t="s">
        <v>1</v>
      </c>
      <c r="C11" s="1">
        <v>-8.4940933199852964E-2</v>
      </c>
      <c r="D11" s="1">
        <v>0.1018471710509377</v>
      </c>
      <c r="E11" s="1">
        <v>8.3295683803165557E-2</v>
      </c>
      <c r="F11" s="1">
        <v>-4.2436834848235572E-2</v>
      </c>
      <c r="G11" s="1">
        <v>-0.1073893839922567</v>
      </c>
      <c r="H11" s="2">
        <v>-0.32171021641840603</v>
      </c>
      <c r="I11" s="2">
        <v>0.33018789121434722</v>
      </c>
      <c r="J11" s="2">
        <v>0.30512398177133532</v>
      </c>
      <c r="K11" s="1">
        <v>1.613285376179651E-2</v>
      </c>
      <c r="L11" s="1">
        <v>-7.2684989198729399E-2</v>
      </c>
      <c r="M11" s="1">
        <v>-0.14870638635831199</v>
      </c>
      <c r="N11" s="1">
        <v>-0.13426619480281049</v>
      </c>
      <c r="O11" s="1">
        <v>8.4411370426889828E-2</v>
      </c>
      <c r="P11" s="1">
        <v>-0.13379191161606621</v>
      </c>
      <c r="Q11" s="1">
        <v>1.416275649284831E-3</v>
      </c>
      <c r="R11" s="1">
        <v>-0.1292371246356625</v>
      </c>
      <c r="S11" s="2">
        <v>-0.22220067149691311</v>
      </c>
      <c r="T11" s="1">
        <v>5.0244446292136223E-2</v>
      </c>
      <c r="U11" s="1">
        <v>1.6132853761796451E-2</v>
      </c>
      <c r="V11" s="1">
        <v>-8.6179206991334231E-2</v>
      </c>
      <c r="W11" s="1">
        <v>-0.13052455324769779</v>
      </c>
      <c r="X11" s="1">
        <v>1.5951284021018228E-2</v>
      </c>
      <c r="Y11" s="1">
        <v>-4.1947592297665363E-2</v>
      </c>
      <c r="Z11" s="1">
        <v>-3.1782989004050848E-2</v>
      </c>
      <c r="AA11" s="1">
        <v>-2.4474358350680629E-2</v>
      </c>
      <c r="AB11" s="2">
        <v>0.25182557095648039</v>
      </c>
      <c r="AC11" s="1">
        <v>0.12967156458829601</v>
      </c>
      <c r="AD11" s="2">
        <v>0.20103572481684009</v>
      </c>
      <c r="AE11" s="2">
        <v>0.17922739827315379</v>
      </c>
      <c r="AF11" s="1">
        <v>0.13931445453337979</v>
      </c>
      <c r="AG11" s="1">
        <v>0.13734613754412309</v>
      </c>
      <c r="AH11" s="1">
        <v>5.4395585998910853E-2</v>
      </c>
      <c r="AI11" s="2">
        <v>-0.20577427641368989</v>
      </c>
      <c r="AJ11" s="2">
        <v>-0.17456653585543019</v>
      </c>
      <c r="AK11" s="1">
        <v>1.401441412302726E-2</v>
      </c>
      <c r="AL11" s="1">
        <v>3.966831708386407E-2</v>
      </c>
      <c r="AM11" s="1">
        <v>8.5269327569348088E-2</v>
      </c>
      <c r="AN11" s="1">
        <v>2.9121697574202871E-3</v>
      </c>
      <c r="AO11" s="1">
        <v>-8.3864870885593426E-2</v>
      </c>
      <c r="AP11" s="1">
        <v>0.16407220975195369</v>
      </c>
      <c r="AQ11" s="1">
        <v>4.5651813154616028E-2</v>
      </c>
      <c r="AR11" s="1">
        <v>6.8226215725564462E-2</v>
      </c>
      <c r="AS11" s="1">
        <v>1.9787286566987782E-3</v>
      </c>
      <c r="AT11" s="1">
        <v>-8.6555015284134465E-2</v>
      </c>
      <c r="AU11" s="1">
        <v>-0.17050148016528879</v>
      </c>
      <c r="AV11" s="1">
        <v>-2.4903413191822051E-2</v>
      </c>
      <c r="AW11" s="1">
        <v>1.8945613821419519E-2</v>
      </c>
      <c r="AX11" s="1">
        <v>4.7772487573231423E-2</v>
      </c>
      <c r="AY11" s="2">
        <v>0.22350765255514249</v>
      </c>
      <c r="AZ11" s="1">
        <v>0.12921560505518129</v>
      </c>
      <c r="BA11" s="1">
        <v>0.1566135826142612</v>
      </c>
      <c r="BB11" s="1">
        <v>3.3197511227017813E-2</v>
      </c>
      <c r="BC11" s="1">
        <v>-7.6231096088375042E-2</v>
      </c>
      <c r="BD11" s="1">
        <v>2.0401402152747342E-2</v>
      </c>
      <c r="BE11" s="1">
        <v>-4.8795340613224783E-2</v>
      </c>
      <c r="BF11" s="1">
        <v>-1.3490864763575619E-2</v>
      </c>
      <c r="BG11" s="1">
        <v>-1.3314343720228369E-2</v>
      </c>
      <c r="BH11" s="1">
        <v>-7.7136100575805706E-3</v>
      </c>
      <c r="BI11" s="1">
        <v>-1.027274773427677E-2</v>
      </c>
      <c r="BJ11" s="1">
        <v>-2.9269637487180249E-2</v>
      </c>
      <c r="BK11" s="1">
        <v>7.0372244262880843E-2</v>
      </c>
      <c r="BL11" s="1">
        <v>6.772523211680069E-2</v>
      </c>
      <c r="BM11" s="1">
        <v>-9.9385992399658618E-2</v>
      </c>
      <c r="BN11" s="1">
        <v>-2.582796541759786E-2</v>
      </c>
      <c r="BO11" s="1">
        <v>3.4779141292637789E-2</v>
      </c>
      <c r="BP11" s="1">
        <v>-2.5899414423164829E-2</v>
      </c>
      <c r="BQ11" s="1">
        <v>-2.787889341786259E-2</v>
      </c>
      <c r="BR11" s="1">
        <v>5.0486520404519161E-2</v>
      </c>
      <c r="BS11" s="1">
        <v>-1.6387840235134388E-2</v>
      </c>
      <c r="BT11" s="1">
        <v>1.380782857418706E-2</v>
      </c>
      <c r="BU11" s="1">
        <v>9.0149138288775615E-3</v>
      </c>
      <c r="BV11" s="1">
        <v>2.2478499234861931E-2</v>
      </c>
      <c r="BW11" s="1">
        <v>-1.2552615780671159E-2</v>
      </c>
      <c r="BX11" s="1">
        <v>1.2392386926629719E-2</v>
      </c>
      <c r="BY11" s="1">
        <v>6.0429518092163671E-3</v>
      </c>
      <c r="BZ11" s="1">
        <v>-8.5825580232337228E-3</v>
      </c>
      <c r="CA11" s="1">
        <v>7.5604398801906456E-3</v>
      </c>
      <c r="CB11" s="1">
        <v>-1.6581151480283531E-2</v>
      </c>
      <c r="CC11" s="1">
        <v>1.7927282627569111E-2</v>
      </c>
      <c r="CD11" s="1">
        <v>-5.4925481355908952E-3</v>
      </c>
      <c r="CE11" s="1">
        <v>9.1956985068411545E-3</v>
      </c>
      <c r="CF11" s="1">
        <v>-1.221741034810171E-2</v>
      </c>
      <c r="CG11" s="1">
        <v>1.382583195010967E-2</v>
      </c>
      <c r="CH11" s="1">
        <v>3.4695556734736177E-2</v>
      </c>
      <c r="CI11" s="1">
        <v>-3.3654022577769629E-2</v>
      </c>
      <c r="CJ11" s="1">
        <v>5.7916794245565194E-4</v>
      </c>
      <c r="CK11" s="1">
        <v>6.2468028466688126E-5</v>
      </c>
    </row>
    <row r="12" spans="1:89" s="6" customFormat="1" ht="32.25" customHeight="1" x14ac:dyDescent="0.2">
      <c r="F12" s="6">
        <f>+F8</f>
        <v>0.21488403828870961</v>
      </c>
      <c r="G12" s="6">
        <f>-G10-G6-G3</f>
        <v>0.51945110701239638</v>
      </c>
      <c r="H12" s="6">
        <f>-H11-H7-H4</f>
        <v>0.96513064925521808</v>
      </c>
      <c r="I12" s="6">
        <f>I11+I8+I7+I4</f>
        <v>1.2138074893434143</v>
      </c>
      <c r="J12" s="6">
        <f>J11+J8+J7+J4</f>
        <v>1.1153251856575608</v>
      </c>
      <c r="K12" s="6">
        <f>-K10-K6-K3</f>
        <v>0.84097835299084855</v>
      </c>
      <c r="L12" s="6">
        <f>L10+L6+L3</f>
        <v>0.42166816661171247</v>
      </c>
      <c r="M12" s="6">
        <f>-M10-M6+M8-M3</f>
        <v>0.92616660197193657</v>
      </c>
      <c r="N12" s="6">
        <f>N8</f>
        <v>0.29327332227853342</v>
      </c>
      <c r="O12" s="6">
        <f>-O8</f>
        <v>0.18195982469544719</v>
      </c>
      <c r="Q12" s="6">
        <f>-Q10-Q6-Q3</f>
        <v>0.85617750597658593</v>
      </c>
      <c r="S12" s="6">
        <f>-S11-S7-S4</f>
        <v>0.6666020144907393</v>
      </c>
      <c r="U12" s="6">
        <f>-U10-U6-U3</f>
        <v>0.84097835299084855</v>
      </c>
      <c r="Z12" s="6">
        <f>Z10+Z6+Z3</f>
        <v>1.546337699717911</v>
      </c>
      <c r="AA12" s="6">
        <f>AA10+AA6+AA3</f>
        <v>1.1623832708383821</v>
      </c>
      <c r="AB12" s="6">
        <f>AB11+AB7+AB4</f>
        <v>0.75547671286944118</v>
      </c>
      <c r="AD12" s="6">
        <f>AD11+AD7+AD4</f>
        <v>0.60310717445052031</v>
      </c>
      <c r="AE12" s="6">
        <f>AE11+AE7+AE4</f>
        <v>0.53768219481946133</v>
      </c>
      <c r="AI12" s="6">
        <f>-AI11-AI7+AI8-AI4</f>
        <v>0.98643255190302925</v>
      </c>
      <c r="AJ12" s="6">
        <f>-AJ11-AJ7+AJ8-AJ4</f>
        <v>0.78440565492448</v>
      </c>
      <c r="AQ12" s="6">
        <f>+AQ8</f>
        <v>0.18760331652140169</v>
      </c>
      <c r="AV12" s="6">
        <f>AV10+AV8+AV6+AV3</f>
        <v>0.62835938788820955</v>
      </c>
      <c r="AY12" s="6">
        <f>AY11+AY7+AY4</f>
        <v>0.67052295766542747</v>
      </c>
      <c r="BL12" s="6">
        <f>BL10+BL6+BL3</f>
        <v>0.40219371346082944</v>
      </c>
    </row>
    <row r="13" spans="1:89" s="7" customFormat="1" ht="32.25" customHeight="1" x14ac:dyDescent="0.2">
      <c r="F13" s="7">
        <v>4</v>
      </c>
      <c r="G13" s="7">
        <v>7</v>
      </c>
      <c r="H13" s="7">
        <v>7</v>
      </c>
      <c r="I13" s="7">
        <v>10</v>
      </c>
      <c r="J13" s="7">
        <v>10</v>
      </c>
      <c r="K13" s="7">
        <v>7</v>
      </c>
      <c r="L13" s="7">
        <v>6</v>
      </c>
      <c r="M13" s="7">
        <v>9</v>
      </c>
      <c r="N13" s="7">
        <v>3</v>
      </c>
      <c r="O13" s="7">
        <v>4</v>
      </c>
      <c r="Q13" s="7">
        <v>7</v>
      </c>
      <c r="S13" s="7">
        <v>7</v>
      </c>
      <c r="U13" s="7">
        <v>6</v>
      </c>
      <c r="Z13" s="7">
        <v>7</v>
      </c>
      <c r="AA13" s="7">
        <v>6</v>
      </c>
      <c r="AB13" s="7">
        <v>7</v>
      </c>
      <c r="AD13" s="7">
        <v>6</v>
      </c>
      <c r="AE13" s="7">
        <v>6</v>
      </c>
      <c r="AI13" s="7">
        <v>9</v>
      </c>
      <c r="AJ13" s="7">
        <v>9</v>
      </c>
      <c r="AQ13" s="7">
        <v>3</v>
      </c>
      <c r="AV13" s="7">
        <v>9</v>
      </c>
      <c r="AY13" s="7">
        <v>6</v>
      </c>
      <c r="BL13" s="7">
        <v>6</v>
      </c>
    </row>
    <row r="14" spans="1:89" x14ac:dyDescent="0.2">
      <c r="F14" s="1">
        <v>0.21488403828870961</v>
      </c>
      <c r="G14" s="1">
        <v>0.51945110701239638</v>
      </c>
      <c r="H14" s="1">
        <v>0.96513064925521808</v>
      </c>
      <c r="I14" s="1">
        <v>1.2138074893434143</v>
      </c>
      <c r="J14" s="1">
        <v>1.1153251856575608</v>
      </c>
      <c r="K14" s="1">
        <v>0.84097835299084855</v>
      </c>
      <c r="L14" s="1">
        <v>0.42166816661171247</v>
      </c>
      <c r="M14" s="1">
        <v>0.92616660197193657</v>
      </c>
      <c r="N14" s="1">
        <v>0.29327332227853342</v>
      </c>
      <c r="O14" s="1">
        <v>0.18195982469544719</v>
      </c>
      <c r="Q14" s="1">
        <v>0.85617750597658593</v>
      </c>
      <c r="S14" s="1">
        <v>0.6666020144907393</v>
      </c>
      <c r="U14" s="1">
        <v>0.84097835299084855</v>
      </c>
      <c r="Z14" s="1">
        <v>1.546337699717911</v>
      </c>
      <c r="AA14" s="1">
        <v>1.1623832708383821</v>
      </c>
      <c r="AB14" s="1">
        <v>0.75547671286944118</v>
      </c>
      <c r="AD14" s="1">
        <v>0.60310717445052031</v>
      </c>
      <c r="AE14" s="1">
        <v>0.53768219481946133</v>
      </c>
      <c r="AI14" s="1">
        <v>0.98643255190302925</v>
      </c>
      <c r="AJ14" s="1">
        <v>0.78440565492448</v>
      </c>
      <c r="AQ14" s="1">
        <v>0.18760331652140169</v>
      </c>
      <c r="AV14" s="1">
        <v>0.62835938788820955</v>
      </c>
      <c r="AY14" s="1">
        <v>0.67052295766542747</v>
      </c>
      <c r="BL14" s="1">
        <v>0.40219371346082944</v>
      </c>
    </row>
    <row r="15" spans="1:89" x14ac:dyDescent="0.2">
      <c r="F15" s="1">
        <v>4</v>
      </c>
      <c r="G15" s="1">
        <v>7</v>
      </c>
      <c r="H15" s="1">
        <v>7</v>
      </c>
      <c r="I15" s="1">
        <v>10</v>
      </c>
      <c r="J15" s="1">
        <v>10</v>
      </c>
      <c r="K15" s="1">
        <v>7</v>
      </c>
      <c r="L15" s="1">
        <v>6</v>
      </c>
      <c r="M15" s="1">
        <v>9</v>
      </c>
      <c r="N15" s="1">
        <v>3</v>
      </c>
      <c r="O15" s="1">
        <v>4</v>
      </c>
      <c r="Q15" s="1">
        <v>7</v>
      </c>
      <c r="S15" s="1">
        <v>7</v>
      </c>
      <c r="U15" s="1">
        <v>6</v>
      </c>
      <c r="Z15" s="1">
        <v>7</v>
      </c>
      <c r="AA15" s="1">
        <v>6</v>
      </c>
      <c r="AB15" s="1">
        <v>7</v>
      </c>
      <c r="AD15" s="1">
        <v>6</v>
      </c>
      <c r="AE15" s="1">
        <v>6</v>
      </c>
      <c r="AI15" s="1">
        <v>9</v>
      </c>
      <c r="AJ15" s="1">
        <v>9</v>
      </c>
      <c r="AQ15" s="1">
        <v>3</v>
      </c>
      <c r="AV15" s="1">
        <v>9</v>
      </c>
      <c r="AY15" s="1">
        <v>6</v>
      </c>
      <c r="BL15" s="1">
        <v>6</v>
      </c>
    </row>
  </sheetData>
  <mergeCells count="3">
    <mergeCell ref="A10:A11"/>
    <mergeCell ref="A3:A4"/>
    <mergeCell ref="A6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stage1</vt:lpstr>
      <vt:lpstr>stage2</vt:lpstr>
      <vt:lpstr>stage3</vt:lpstr>
      <vt:lpstr>stage4</vt:lpstr>
      <vt:lpstr>stage5_deybe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2015-06-05T18:19:34Z</dcterms:created>
  <dcterms:modified xsi:type="dcterms:W3CDTF">2026-10-16T07:17:42Z</dcterms:modified>
</cp:coreProperties>
</file>