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desktop\Multiobjective Identification of Phosphor Materials via a Domain Knowledge Integrated Semisupervised Learning Framework\dataset\stage4\"/>
    </mc:Choice>
  </mc:AlternateContent>
  <xr:revisionPtr revIDLastSave="0" documentId="13_ncr:1_{C16A2D07-3D7F-47C3-BF33-00E549642AD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narrow" sheetId="5" r:id="rId1"/>
  </sheets>
  <externalReferences>
    <externalReference r:id="rId2"/>
  </externalReferences>
  <definedNames>
    <definedName name="_xlnm._FilterDatabase" localSheetId="0" hidden="1">narrow!$A$1:$F$102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2" i="5" l="1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</calcChain>
</file>

<file path=xl/sharedStrings.xml><?xml version="1.0" encoding="utf-8"?>
<sst xmlns="http://schemas.openxmlformats.org/spreadsheetml/2006/main" count="106" uniqueCount="106">
  <si>
    <t>number</t>
  </si>
  <si>
    <t>formula</t>
  </si>
  <si>
    <t>GMM</t>
  </si>
  <si>
    <t>DBSCAN</t>
  </si>
  <si>
    <t>Birch</t>
  </si>
  <si>
    <t>SrLi2SiO4</t>
  </si>
  <si>
    <t>SrLiBO3</t>
  </si>
  <si>
    <t>K2RbNaLi12(SiO4)4</t>
  </si>
  <si>
    <t>Rb2ZrSi2O7</t>
  </si>
  <si>
    <t>Sr2LiSiO4F</t>
  </si>
  <si>
    <t>CsLiSO4</t>
  </si>
  <si>
    <t>Na4Sr(SiO3)3</t>
  </si>
  <si>
    <t>Na2Ca17Al12O36</t>
  </si>
  <si>
    <t>Li3Y2(BO3)3</t>
  </si>
  <si>
    <t>Na2Sr(SiO3)2</t>
  </si>
  <si>
    <t>LiY9(Si3O13)2</t>
  </si>
  <si>
    <t>K3Na3(NO4)2</t>
  </si>
  <si>
    <t>BaNaPO4</t>
  </si>
  <si>
    <t>SrLiPO4</t>
  </si>
  <si>
    <t>NaY9(Si3O13)2</t>
  </si>
  <si>
    <t>CsRbSO4</t>
  </si>
  <si>
    <t>K4Ba(SiO3)3</t>
  </si>
  <si>
    <t>CsNaSiO3</t>
  </si>
  <si>
    <t>CsPSO2</t>
  </si>
  <si>
    <t>BaNa2(SiO3)2</t>
  </si>
  <si>
    <t>LiY6B3O14</t>
  </si>
  <si>
    <t>K2Al2O3F2</t>
  </si>
  <si>
    <t>RbMgPO4</t>
  </si>
  <si>
    <t>Li2Ca2Si2O7</t>
  </si>
  <si>
    <t>K2Ca3Si3O10</t>
  </si>
  <si>
    <t>NaCa4(BO3)3</t>
  </si>
  <si>
    <t>Na3YSi2O7</t>
  </si>
  <si>
    <t>NaMgBO3</t>
  </si>
  <si>
    <t>Cs2Ba3(P2O7)2</t>
  </si>
  <si>
    <t>KNaSi2O5</t>
  </si>
  <si>
    <t>LiCaPO4</t>
  </si>
  <si>
    <t>LiCaBO3</t>
  </si>
  <si>
    <t>Li3Sc(BO3)2</t>
  </si>
  <si>
    <t>Na2MgSiO4</t>
  </si>
  <si>
    <t>K2Al2B2O7</t>
  </si>
  <si>
    <t>CsAlSiO4</t>
  </si>
  <si>
    <t>Na2Al2B2O7</t>
  </si>
  <si>
    <t>BaNa(B3O5)3</t>
  </si>
  <si>
    <t>BaNaBO3</t>
  </si>
  <si>
    <t>SrLiAlO3</t>
  </si>
  <si>
    <t>BaLi2SiO4</t>
  </si>
  <si>
    <t>BaLiBO3</t>
  </si>
  <si>
    <t>Ba6Na2Si4O15</t>
  </si>
  <si>
    <t>Cs2Li2SiO4</t>
  </si>
  <si>
    <t>Cs2MgSi5O12</t>
  </si>
  <si>
    <t>Cs2PO3F</t>
  </si>
  <si>
    <t>Cs2SrP2O7</t>
  </si>
  <si>
    <t>Cs2Al2P2O9</t>
  </si>
  <si>
    <t>Cs2BaP2O7</t>
  </si>
  <si>
    <t>Cs2CaP2O7</t>
  </si>
  <si>
    <t>Cs3Y(PO4)2</t>
  </si>
  <si>
    <t>CsAl(SiO3)2</t>
  </si>
  <si>
    <t>CsLi(PO3)2</t>
  </si>
  <si>
    <t>CsLi5(BO3)2</t>
  </si>
  <si>
    <t>CsMgPO4</t>
  </si>
  <si>
    <t>CsNa2BO3</t>
  </si>
  <si>
    <t>CsNaSi2O5</t>
  </si>
  <si>
    <t>K2LiBO3</t>
  </si>
  <si>
    <t>K2MgSiO4</t>
  </si>
  <si>
    <t>K2Sr(PO3)4</t>
  </si>
  <si>
    <t>K3B6ClO10</t>
  </si>
  <si>
    <t>K3LiSiO4</t>
  </si>
  <si>
    <t>K3Sc(PO4)2</t>
  </si>
  <si>
    <t>K3ScSi2O7</t>
  </si>
  <si>
    <t>K4Na2(Si2O5)3</t>
  </si>
  <si>
    <t>K4Sr(SiO3)3</t>
  </si>
  <si>
    <t>K6Si2S6O</t>
  </si>
  <si>
    <t>KBOF2</t>
  </si>
  <si>
    <t>KBaPO4</t>
  </si>
  <si>
    <t>KLi2BO3</t>
  </si>
  <si>
    <t>KLi3SiO4</t>
  </si>
  <si>
    <t>KLi4AlO4</t>
  </si>
  <si>
    <t>KLiSi2O5</t>
  </si>
  <si>
    <t>KSrPO4</t>
  </si>
  <si>
    <t>Li2CaSiO4</t>
  </si>
  <si>
    <t>Li4Ca(BO3)2</t>
  </si>
  <si>
    <t>Li6Y(BO3)3</t>
  </si>
  <si>
    <t>Na2Ca3Si3O10</t>
  </si>
  <si>
    <t>Na3LiP2O7</t>
  </si>
  <si>
    <t>Na3Sc2(BO3)3</t>
  </si>
  <si>
    <t>Na3ScSi2O7</t>
  </si>
  <si>
    <t>Na3Y(PO4)2</t>
  </si>
  <si>
    <t>NaCaBO3</t>
  </si>
  <si>
    <t>NaCaPO4</t>
  </si>
  <si>
    <t>NaLi2BO3</t>
  </si>
  <si>
    <t>NaLi2PO4</t>
  </si>
  <si>
    <t>NaLi3SiO4</t>
  </si>
  <si>
    <t>NaLiB4O7</t>
  </si>
  <si>
    <t>Na4Li5(BO3)3</t>
  </si>
  <si>
    <t>NaMgPO4</t>
  </si>
  <si>
    <t>NaSrBO3</t>
  </si>
  <si>
    <t>NaSrPO4</t>
  </si>
  <si>
    <t>NaYSiO4</t>
  </si>
  <si>
    <t>Rb2Ca2(SiO3)3</t>
  </si>
  <si>
    <t>Rb2Li2SiO4</t>
  </si>
  <si>
    <t>Rb2Na2SiO4</t>
  </si>
  <si>
    <t>Rb2Sr(PO3)4</t>
  </si>
  <si>
    <t>Rb2SrP2O7</t>
  </si>
  <si>
    <t>RbAlSiO4</t>
  </si>
  <si>
    <t>RbLi7(SiO4)2</t>
  </si>
  <si>
    <t>RbNaSi2O5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</si>
</sst>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&#30424;&#36164;&#26009;\SKJ\work2\&#24037;&#20316;&#31532;&#22235;&#27425;&#37325;&#20570;&#65288;&#32511;&#31881;&#32858;&#31867;&#65289;\&#25968;&#25454;&#25991;&#20214;\&#32511;&#31881;&#26631;&#23450;&#32467;&#26500;.xlsx" TargetMode="External"/><Relationship Id="rId1" Type="http://schemas.openxmlformats.org/officeDocument/2006/relationships/externalLinkPath" Target="file:///D:\D&#30424;&#36164;&#26009;\SKJ\work2\&#24037;&#20316;&#31532;&#22235;&#27425;&#37325;&#20570;&#65288;&#32511;&#31881;&#32858;&#31867;&#65289;\&#25968;&#25454;&#25991;&#20214;\&#32511;&#31881;&#26631;&#23450;&#32467;&#265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A1" t="str">
            <v>500-560的绿色荧光粉</v>
          </cell>
        </row>
        <row r="2">
          <cell r="A2" t="str">
            <v>化学式</v>
          </cell>
          <cell r="B2" t="str">
            <v>发射波长</v>
          </cell>
          <cell r="C2" t="str">
            <v>半峰宽</v>
          </cell>
        </row>
        <row r="3">
          <cell r="A3" t="str">
            <v>RbLi7(SiO4)2</v>
          </cell>
          <cell r="B3">
            <v>530</v>
          </cell>
          <cell r="C3">
            <v>42</v>
          </cell>
        </row>
        <row r="4">
          <cell r="A4" t="str">
            <v>K2RbNaLi12(SiO4)4</v>
          </cell>
          <cell r="B4">
            <v>535</v>
          </cell>
          <cell r="C4">
            <v>51</v>
          </cell>
        </row>
        <row r="5">
          <cell r="A5" t="str">
            <v>BaLi2SiO4</v>
          </cell>
          <cell r="B5">
            <v>505</v>
          </cell>
          <cell r="C5">
            <v>61</v>
          </cell>
        </row>
        <row r="6">
          <cell r="A6" t="str">
            <v>BaNa(B3O5)3</v>
          </cell>
          <cell r="B6">
            <v>515</v>
          </cell>
          <cell r="C6">
            <v>61</v>
          </cell>
        </row>
        <row r="7">
          <cell r="A7" t="str">
            <v>NaCaPO4</v>
          </cell>
          <cell r="B7">
            <v>505</v>
          </cell>
          <cell r="C7">
            <v>65</v>
          </cell>
        </row>
        <row r="8">
          <cell r="A8" t="str">
            <v>Ba3Si6(NO6)2</v>
          </cell>
          <cell r="B8">
            <v>525</v>
          </cell>
          <cell r="C8">
            <v>68</v>
          </cell>
        </row>
        <row r="9">
          <cell r="A9" t="str">
            <v>Ba6Y2Al4O15</v>
          </cell>
          <cell r="B9">
            <v>550</v>
          </cell>
          <cell r="C9">
            <v>69</v>
          </cell>
        </row>
        <row r="10">
          <cell r="A10" t="str">
            <v>Ba2MgSi2O7</v>
          </cell>
          <cell r="B10">
            <v>515</v>
          </cell>
          <cell r="C10">
            <v>75</v>
          </cell>
        </row>
        <row r="11">
          <cell r="A11" t="str">
            <v>Ba2Ca(BO3)2</v>
          </cell>
          <cell r="B11">
            <v>515</v>
          </cell>
          <cell r="C11">
            <v>75</v>
          </cell>
        </row>
        <row r="12">
          <cell r="A12" t="str">
            <v>SrAl2O4</v>
          </cell>
          <cell r="B12">
            <v>514</v>
          </cell>
          <cell r="C12">
            <v>77</v>
          </cell>
        </row>
        <row r="13">
          <cell r="A13" t="str">
            <v>Rb2ZrSi2O7</v>
          </cell>
          <cell r="B13">
            <v>522</v>
          </cell>
          <cell r="C13">
            <v>91</v>
          </cell>
        </row>
        <row r="14">
          <cell r="A14" t="str">
            <v>Cs2BaP2O7</v>
          </cell>
          <cell r="B14">
            <v>548</v>
          </cell>
          <cell r="C14">
            <v>100</v>
          </cell>
        </row>
        <row r="15">
          <cell r="A15" t="str">
            <v>Sr2LiSiO4F</v>
          </cell>
          <cell r="B15">
            <v>520</v>
          </cell>
          <cell r="C15">
            <v>100</v>
          </cell>
        </row>
        <row r="16">
          <cell r="A16" t="str">
            <v>Na3YSi2O7</v>
          </cell>
          <cell r="B16">
            <v>538</v>
          </cell>
          <cell r="C16">
            <v>105</v>
          </cell>
        </row>
        <row r="17">
          <cell r="A17" t="str">
            <v>Ba2Mg(PO4)2</v>
          </cell>
          <cell r="B17">
            <v>560</v>
          </cell>
          <cell r="C17">
            <v>120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FAF5F-AB59-40E9-9C20-4514BD86F4E8}">
  <dimension ref="A1:F102"/>
  <sheetViews>
    <sheetView tabSelected="1" zoomScale="130" zoomScaleNormal="130" workbookViewId="0">
      <selection activeCell="I23" sqref="I23"/>
    </sheetView>
  </sheetViews>
  <sheetFormatPr defaultColWidth="9" defaultRowHeight="13.5" x14ac:dyDescent="0.15"/>
  <cols>
    <col min="2" max="2" width="17.25" customWidth="1"/>
    <col min="3" max="3" width="30.125" customWidth="1"/>
    <col min="4" max="4" width="9" style="6"/>
    <col min="5" max="5" width="11.375" customWidth="1"/>
  </cols>
  <sheetData>
    <row r="1" spans="1:6" ht="14.25" x14ac:dyDescent="0.1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 ht="14.25" x14ac:dyDescent="0.2">
      <c r="A2" s="1">
        <v>6</v>
      </c>
      <c r="B2" s="1" t="s">
        <v>5</v>
      </c>
      <c r="C2" s="1" t="e">
        <f>VLOOKUP(B2,[1]Sheet1!$A:$C,1,0)</f>
        <v>#N/A</v>
      </c>
      <c r="D2" s="7">
        <v>4</v>
      </c>
      <c r="E2" s="2">
        <v>3</v>
      </c>
      <c r="F2" s="9">
        <v>1</v>
      </c>
    </row>
    <row r="3" spans="1:6" ht="14.25" x14ac:dyDescent="0.2">
      <c r="A3" s="1">
        <v>8</v>
      </c>
      <c r="B3" s="1" t="s">
        <v>6</v>
      </c>
      <c r="C3" s="1" t="e">
        <f>VLOOKUP(B3,[1]Sheet1!$A:$C,1,0)</f>
        <v>#N/A</v>
      </c>
      <c r="D3" s="7">
        <v>4</v>
      </c>
      <c r="E3" s="2">
        <v>3</v>
      </c>
      <c r="F3" s="9">
        <v>1</v>
      </c>
    </row>
    <row r="4" spans="1:6" ht="14.25" x14ac:dyDescent="0.2">
      <c r="A4" s="1">
        <v>14</v>
      </c>
      <c r="B4" s="1" t="s">
        <v>7</v>
      </c>
      <c r="C4" s="5" t="str">
        <f>VLOOKUP(B4,[1]Sheet1!$A:$C,1,0)</f>
        <v>K2RbNaLi12(SiO4)4</v>
      </c>
      <c r="D4" s="7">
        <v>4</v>
      </c>
      <c r="E4" s="8">
        <v>2</v>
      </c>
      <c r="F4" s="9">
        <v>1</v>
      </c>
    </row>
    <row r="5" spans="1:6" ht="14.25" x14ac:dyDescent="0.2">
      <c r="A5" s="1">
        <v>15</v>
      </c>
      <c r="B5" s="1" t="s">
        <v>8</v>
      </c>
      <c r="C5" s="5" t="str">
        <f>VLOOKUP(B5,[1]Sheet1!$A:$C,1,0)</f>
        <v>Rb2ZrSi2O7</v>
      </c>
      <c r="D5" s="7">
        <v>4</v>
      </c>
      <c r="E5" s="8">
        <v>1</v>
      </c>
      <c r="F5" s="9">
        <v>1</v>
      </c>
    </row>
    <row r="6" spans="1:6" ht="14.25" x14ac:dyDescent="0.2">
      <c r="A6" s="1">
        <v>16</v>
      </c>
      <c r="B6" s="1" t="s">
        <v>9</v>
      </c>
      <c r="C6" s="1" t="str">
        <f>VLOOKUP(B6,[1]Sheet1!$A:$C,1,0)</f>
        <v>Sr2LiSiO4F</v>
      </c>
      <c r="D6" s="7">
        <v>4</v>
      </c>
      <c r="E6" s="8">
        <v>1</v>
      </c>
      <c r="F6" s="9">
        <v>1</v>
      </c>
    </row>
    <row r="7" spans="1:6" ht="14.25" x14ac:dyDescent="0.2">
      <c r="A7" s="1">
        <v>19</v>
      </c>
      <c r="B7" s="1" t="s">
        <v>10</v>
      </c>
      <c r="C7" s="1" t="e">
        <f>VLOOKUP(B7,[1]Sheet1!$A:$C,1,0)</f>
        <v>#N/A</v>
      </c>
      <c r="D7" s="7">
        <v>4</v>
      </c>
      <c r="E7" s="8">
        <v>1</v>
      </c>
      <c r="F7" s="4">
        <v>3</v>
      </c>
    </row>
    <row r="8" spans="1:6" ht="14.25" x14ac:dyDescent="0.2">
      <c r="A8" s="1">
        <v>24</v>
      </c>
      <c r="B8" s="1" t="s">
        <v>11</v>
      </c>
      <c r="C8" s="1" t="e">
        <f>VLOOKUP(B8,[1]Sheet1!$A:$C,1,0)</f>
        <v>#N/A</v>
      </c>
      <c r="D8" s="7">
        <v>4</v>
      </c>
      <c r="E8" s="8">
        <v>1</v>
      </c>
      <c r="F8" s="9">
        <v>1</v>
      </c>
    </row>
    <row r="9" spans="1:6" ht="14.25" x14ac:dyDescent="0.2">
      <c r="A9" s="1">
        <v>26</v>
      </c>
      <c r="B9" s="1" t="s">
        <v>12</v>
      </c>
      <c r="C9" s="1" t="e">
        <f>VLOOKUP(B9,[1]Sheet1!$A:$C,1,0)</f>
        <v>#N/A</v>
      </c>
      <c r="D9" s="7">
        <v>4</v>
      </c>
      <c r="E9" s="8">
        <v>1</v>
      </c>
      <c r="F9" s="9">
        <v>1</v>
      </c>
    </row>
    <row r="10" spans="1:6" ht="14.25" x14ac:dyDescent="0.2">
      <c r="A10" s="1">
        <v>27</v>
      </c>
      <c r="B10" s="1" t="s">
        <v>13</v>
      </c>
      <c r="C10" s="1" t="e">
        <f>VLOOKUP(B10,[1]Sheet1!$A:$C,1,0)</f>
        <v>#N/A</v>
      </c>
      <c r="D10" s="7">
        <v>4</v>
      </c>
      <c r="E10" s="2">
        <v>3</v>
      </c>
      <c r="F10" s="9">
        <v>1</v>
      </c>
    </row>
    <row r="11" spans="1:6" ht="14.25" x14ac:dyDescent="0.2">
      <c r="A11" s="1">
        <v>29</v>
      </c>
      <c r="B11" s="1" t="s">
        <v>14</v>
      </c>
      <c r="C11" s="1" t="e">
        <f>VLOOKUP(B11,[1]Sheet1!$A:$C,1,0)</f>
        <v>#N/A</v>
      </c>
      <c r="D11" s="7">
        <v>4</v>
      </c>
      <c r="E11" s="8">
        <v>1</v>
      </c>
      <c r="F11" s="9">
        <v>1</v>
      </c>
    </row>
    <row r="12" spans="1:6" ht="14.25" x14ac:dyDescent="0.2">
      <c r="A12" s="1">
        <v>35</v>
      </c>
      <c r="B12" s="1" t="s">
        <v>15</v>
      </c>
      <c r="C12" s="1" t="e">
        <f>VLOOKUP(B12,[1]Sheet1!$A:$C,1,0)</f>
        <v>#N/A</v>
      </c>
      <c r="D12" s="7">
        <v>4</v>
      </c>
      <c r="E12" s="2">
        <v>3</v>
      </c>
      <c r="F12" s="9">
        <v>1</v>
      </c>
    </row>
    <row r="13" spans="1:6" ht="14.25" x14ac:dyDescent="0.2">
      <c r="A13" s="1">
        <v>36</v>
      </c>
      <c r="B13" s="1" t="s">
        <v>16</v>
      </c>
      <c r="C13" s="1" t="e">
        <f>VLOOKUP(B13,[1]Sheet1!$A:$C,1,0)</f>
        <v>#N/A</v>
      </c>
      <c r="D13" s="7">
        <v>4</v>
      </c>
      <c r="E13" s="8">
        <v>2</v>
      </c>
      <c r="F13" s="4">
        <v>2</v>
      </c>
    </row>
    <row r="14" spans="1:6" ht="14.25" x14ac:dyDescent="0.2">
      <c r="A14" s="1">
        <v>38</v>
      </c>
      <c r="B14" s="1" t="s">
        <v>17</v>
      </c>
      <c r="C14" s="1" t="e">
        <f>VLOOKUP(B14,[1]Sheet1!$A:$C,1,0)</f>
        <v>#N/A</v>
      </c>
      <c r="D14" s="7">
        <v>4</v>
      </c>
      <c r="E14" s="8">
        <v>1</v>
      </c>
      <c r="F14" s="4">
        <v>3</v>
      </c>
    </row>
    <row r="15" spans="1:6" ht="14.25" x14ac:dyDescent="0.2">
      <c r="A15" s="1">
        <v>43</v>
      </c>
      <c r="B15" s="1" t="s">
        <v>18</v>
      </c>
      <c r="C15" s="1" t="e">
        <f>VLOOKUP(B15,[1]Sheet1!$A:$C,1,0)</f>
        <v>#N/A</v>
      </c>
      <c r="D15" s="7">
        <v>4</v>
      </c>
      <c r="E15" s="8">
        <v>1</v>
      </c>
      <c r="F15" s="4">
        <v>2</v>
      </c>
    </row>
    <row r="16" spans="1:6" ht="14.25" x14ac:dyDescent="0.2">
      <c r="A16" s="1">
        <v>46</v>
      </c>
      <c r="B16" s="1" t="s">
        <v>19</v>
      </c>
      <c r="C16" s="1" t="e">
        <f>VLOOKUP(B16,[1]Sheet1!$A:$C,1,0)</f>
        <v>#N/A</v>
      </c>
      <c r="D16" s="7">
        <v>4</v>
      </c>
      <c r="E16" s="8">
        <v>1</v>
      </c>
      <c r="F16" s="9">
        <v>1</v>
      </c>
    </row>
    <row r="17" spans="1:6" ht="14.25" x14ac:dyDescent="0.2">
      <c r="A17" s="1">
        <v>54</v>
      </c>
      <c r="B17" s="1" t="s">
        <v>20</v>
      </c>
      <c r="C17" s="1" t="e">
        <f>VLOOKUP(B17,[1]Sheet1!$A:$C,1,0)</f>
        <v>#N/A</v>
      </c>
      <c r="D17" s="7">
        <v>4</v>
      </c>
      <c r="E17" s="8">
        <v>1</v>
      </c>
      <c r="F17" s="4">
        <v>3</v>
      </c>
    </row>
    <row r="18" spans="1:6" ht="14.25" x14ac:dyDescent="0.2">
      <c r="A18" s="1">
        <v>56</v>
      </c>
      <c r="B18" s="1" t="s">
        <v>21</v>
      </c>
      <c r="C18" s="1" t="e">
        <f>VLOOKUP(B18,[1]Sheet1!$A:$C,1,0)</f>
        <v>#N/A</v>
      </c>
      <c r="D18" s="7">
        <v>4</v>
      </c>
      <c r="E18" s="8">
        <v>1</v>
      </c>
      <c r="F18" s="9">
        <v>1</v>
      </c>
    </row>
    <row r="19" spans="1:6" ht="14.25" x14ac:dyDescent="0.2">
      <c r="A19" s="1">
        <v>58</v>
      </c>
      <c r="B19" s="1" t="s">
        <v>22</v>
      </c>
      <c r="C19" s="1" t="e">
        <f>VLOOKUP(B19,[1]Sheet1!$A:$C,1,0)</f>
        <v>#N/A</v>
      </c>
      <c r="D19" s="7">
        <v>4</v>
      </c>
      <c r="E19" s="8">
        <v>2</v>
      </c>
      <c r="F19" s="4">
        <v>3</v>
      </c>
    </row>
    <row r="20" spans="1:6" ht="14.25" x14ac:dyDescent="0.2">
      <c r="A20" s="1">
        <v>61</v>
      </c>
      <c r="B20" s="1" t="s">
        <v>23</v>
      </c>
      <c r="C20" s="1" t="e">
        <f>VLOOKUP(B20,[1]Sheet1!$A:$C,1,0)</f>
        <v>#N/A</v>
      </c>
      <c r="D20" s="7">
        <v>4</v>
      </c>
      <c r="E20" s="8">
        <v>1</v>
      </c>
      <c r="F20" s="4">
        <v>3</v>
      </c>
    </row>
    <row r="21" spans="1:6" ht="14.25" x14ac:dyDescent="0.2">
      <c r="A21" s="1">
        <v>65</v>
      </c>
      <c r="B21" s="1" t="s">
        <v>24</v>
      </c>
      <c r="C21" s="1" t="e">
        <f>VLOOKUP(B21,[1]Sheet1!$A:$C,1,0)</f>
        <v>#N/A</v>
      </c>
      <c r="D21" s="7">
        <v>4</v>
      </c>
      <c r="E21" s="8">
        <v>1</v>
      </c>
      <c r="F21" s="9">
        <v>1</v>
      </c>
    </row>
    <row r="22" spans="1:6" ht="14.25" x14ac:dyDescent="0.2">
      <c r="A22" s="1">
        <v>69</v>
      </c>
      <c r="B22" s="1" t="s">
        <v>25</v>
      </c>
      <c r="C22" s="1" t="e">
        <f>VLOOKUP(B22,[1]Sheet1!$A:$C,1,0)</f>
        <v>#N/A</v>
      </c>
      <c r="D22" s="7">
        <v>4</v>
      </c>
      <c r="E22" s="2">
        <v>3</v>
      </c>
      <c r="F22" s="9">
        <v>1</v>
      </c>
    </row>
    <row r="23" spans="1:6" ht="14.25" x14ac:dyDescent="0.2">
      <c r="A23" s="1">
        <v>73</v>
      </c>
      <c r="B23" s="1" t="s">
        <v>26</v>
      </c>
      <c r="C23" s="1" t="e">
        <f>VLOOKUP(B23,[1]Sheet1!$A:$C,1,0)</f>
        <v>#N/A</v>
      </c>
      <c r="D23" s="7">
        <v>4</v>
      </c>
      <c r="E23" s="2">
        <v>4</v>
      </c>
      <c r="F23" s="9">
        <v>1</v>
      </c>
    </row>
    <row r="24" spans="1:6" ht="14.25" x14ac:dyDescent="0.2">
      <c r="A24" s="1">
        <v>78</v>
      </c>
      <c r="B24" s="1" t="s">
        <v>27</v>
      </c>
      <c r="C24" s="1" t="e">
        <f>VLOOKUP(B24,[1]Sheet1!$A:$C,1,0)</f>
        <v>#N/A</v>
      </c>
      <c r="D24" s="7">
        <v>4</v>
      </c>
      <c r="E24" s="8">
        <v>1</v>
      </c>
      <c r="F24" s="4">
        <v>3</v>
      </c>
    </row>
    <row r="25" spans="1:6" ht="14.25" x14ac:dyDescent="0.2">
      <c r="A25" s="1">
        <v>79</v>
      </c>
      <c r="B25" s="1" t="s">
        <v>28</v>
      </c>
      <c r="C25" s="1" t="e">
        <f>VLOOKUP(B25,[1]Sheet1!$A:$C,1,0)</f>
        <v>#N/A</v>
      </c>
      <c r="D25" s="7">
        <v>4</v>
      </c>
      <c r="E25" s="2">
        <v>3</v>
      </c>
      <c r="F25" s="9">
        <v>1</v>
      </c>
    </row>
    <row r="26" spans="1:6" ht="14.25" x14ac:dyDescent="0.2">
      <c r="A26" s="1">
        <v>80</v>
      </c>
      <c r="B26" s="1" t="s">
        <v>29</v>
      </c>
      <c r="C26" s="1" t="e">
        <f>VLOOKUP(B26,[1]Sheet1!$A:$C,1,0)</f>
        <v>#N/A</v>
      </c>
      <c r="D26" s="7">
        <v>4</v>
      </c>
      <c r="E26" s="8">
        <v>1</v>
      </c>
      <c r="F26" s="9">
        <v>1</v>
      </c>
    </row>
    <row r="27" spans="1:6" ht="14.25" x14ac:dyDescent="0.2">
      <c r="A27" s="1">
        <v>82</v>
      </c>
      <c r="B27" s="1" t="s">
        <v>30</v>
      </c>
      <c r="C27" s="1" t="e">
        <f>VLOOKUP(B27,[1]Sheet1!$A:$C,1,0)</f>
        <v>#N/A</v>
      </c>
      <c r="D27" s="7">
        <v>4</v>
      </c>
      <c r="E27" s="2">
        <v>3</v>
      </c>
      <c r="F27" s="9">
        <v>1</v>
      </c>
    </row>
    <row r="28" spans="1:6" ht="14.25" x14ac:dyDescent="0.2">
      <c r="A28" s="1">
        <v>95</v>
      </c>
      <c r="B28" s="1" t="s">
        <v>31</v>
      </c>
      <c r="C28" s="1" t="str">
        <f>VLOOKUP(B28,[1]Sheet1!$A:$C,1,0)</f>
        <v>Na3YSi2O7</v>
      </c>
      <c r="D28" s="7">
        <v>4</v>
      </c>
      <c r="E28" s="8">
        <v>2</v>
      </c>
      <c r="F28" s="9">
        <v>1</v>
      </c>
    </row>
    <row r="29" spans="1:6" ht="14.25" x14ac:dyDescent="0.2">
      <c r="A29" s="1">
        <v>103</v>
      </c>
      <c r="B29" s="1" t="s">
        <v>32</v>
      </c>
      <c r="C29" s="1" t="e">
        <f>VLOOKUP(B29,[1]Sheet1!$A:$C,1,0)</f>
        <v>#N/A</v>
      </c>
      <c r="D29" s="7">
        <v>4</v>
      </c>
      <c r="E29" s="2">
        <v>3</v>
      </c>
      <c r="F29" s="9">
        <v>1</v>
      </c>
    </row>
    <row r="30" spans="1:6" ht="14.25" x14ac:dyDescent="0.2">
      <c r="A30" s="1">
        <v>112</v>
      </c>
      <c r="B30" s="1" t="s">
        <v>33</v>
      </c>
      <c r="C30" s="1" t="e">
        <f>VLOOKUP(B30,[1]Sheet1!$A:$C,1,0)</f>
        <v>#N/A</v>
      </c>
      <c r="D30" s="7">
        <v>4</v>
      </c>
      <c r="E30" s="8">
        <v>1</v>
      </c>
      <c r="F30" s="4">
        <v>3</v>
      </c>
    </row>
    <row r="31" spans="1:6" ht="14.25" x14ac:dyDescent="0.2">
      <c r="A31" s="1">
        <v>114</v>
      </c>
      <c r="B31" s="1" t="s">
        <v>34</v>
      </c>
      <c r="C31" s="1" t="e">
        <f>VLOOKUP(B31,[1]Sheet1!$A:$C,1,0)</f>
        <v>#N/A</v>
      </c>
      <c r="D31" s="7">
        <v>4</v>
      </c>
      <c r="E31" s="8">
        <v>1</v>
      </c>
      <c r="F31" s="9">
        <v>1</v>
      </c>
    </row>
    <row r="32" spans="1:6" ht="14.25" x14ac:dyDescent="0.2">
      <c r="A32" s="1">
        <v>116</v>
      </c>
      <c r="B32" s="1" t="s">
        <v>35</v>
      </c>
      <c r="C32" s="1" t="e">
        <f>VLOOKUP(B32,[1]Sheet1!$A:$C,1,0)</f>
        <v>#N/A</v>
      </c>
      <c r="D32" s="7">
        <v>4</v>
      </c>
      <c r="E32" s="8">
        <v>1</v>
      </c>
      <c r="F32" s="4">
        <v>2</v>
      </c>
    </row>
    <row r="33" spans="1:6" ht="14.25" x14ac:dyDescent="0.2">
      <c r="A33" s="1">
        <v>123</v>
      </c>
      <c r="B33" s="1" t="s">
        <v>36</v>
      </c>
      <c r="C33" s="1" t="e">
        <f>VLOOKUP(B33,[1]Sheet1!$A:$C,1,0)</f>
        <v>#N/A</v>
      </c>
      <c r="D33" s="7">
        <v>4</v>
      </c>
      <c r="E33" s="2">
        <v>3</v>
      </c>
      <c r="F33" s="9">
        <v>1</v>
      </c>
    </row>
    <row r="34" spans="1:6" ht="14.25" x14ac:dyDescent="0.2">
      <c r="A34" s="1">
        <v>127</v>
      </c>
      <c r="B34" s="1" t="s">
        <v>37</v>
      </c>
      <c r="C34" s="1" t="e">
        <f>VLOOKUP(B34,[1]Sheet1!$A:$C,1,0)</f>
        <v>#N/A</v>
      </c>
      <c r="D34" s="7">
        <v>4</v>
      </c>
      <c r="E34" s="2">
        <v>3</v>
      </c>
      <c r="F34" s="9">
        <v>1</v>
      </c>
    </row>
    <row r="35" spans="1:6" ht="14.25" x14ac:dyDescent="0.2">
      <c r="A35" s="1">
        <v>128</v>
      </c>
      <c r="B35" s="1" t="s">
        <v>38</v>
      </c>
      <c r="C35" s="1" t="e">
        <f>VLOOKUP(B35,[1]Sheet1!$A:$C,1,0)</f>
        <v>#N/A</v>
      </c>
      <c r="D35" s="7">
        <v>4</v>
      </c>
      <c r="E35" s="8">
        <v>2</v>
      </c>
      <c r="F35" s="9">
        <v>1</v>
      </c>
    </row>
    <row r="36" spans="1:6" ht="14.25" x14ac:dyDescent="0.2">
      <c r="A36" s="1">
        <v>132</v>
      </c>
      <c r="B36" s="1" t="s">
        <v>39</v>
      </c>
      <c r="C36" s="1" t="e">
        <f>VLOOKUP(B36,[1]Sheet1!$A:$C,1,0)</f>
        <v>#N/A</v>
      </c>
      <c r="D36" s="7">
        <v>4</v>
      </c>
      <c r="E36" s="2">
        <v>3</v>
      </c>
      <c r="F36" s="9">
        <v>1</v>
      </c>
    </row>
    <row r="37" spans="1:6" ht="14.25" x14ac:dyDescent="0.2">
      <c r="A37" s="1">
        <v>135</v>
      </c>
      <c r="B37" s="1" t="s">
        <v>40</v>
      </c>
      <c r="C37" s="1" t="e">
        <f>VLOOKUP(B37,[1]Sheet1!$A:$C,1,0)</f>
        <v>#N/A</v>
      </c>
      <c r="D37" s="7">
        <v>4</v>
      </c>
      <c r="E37" s="8">
        <v>1</v>
      </c>
      <c r="F37" s="4">
        <v>3</v>
      </c>
    </row>
    <row r="38" spans="1:6" ht="16.5" customHeight="1" x14ac:dyDescent="0.2">
      <c r="A38" s="1">
        <v>136</v>
      </c>
      <c r="B38" s="1" t="s">
        <v>41</v>
      </c>
      <c r="C38" s="1" t="e">
        <f>VLOOKUP(B38,[1]Sheet1!$A:$C,1,0)</f>
        <v>#N/A</v>
      </c>
      <c r="D38" s="7">
        <v>4</v>
      </c>
      <c r="E38" s="2">
        <v>3</v>
      </c>
      <c r="F38" s="9">
        <v>1</v>
      </c>
    </row>
    <row r="39" spans="1:6" ht="14.25" x14ac:dyDescent="0.2">
      <c r="A39" s="1">
        <v>157</v>
      </c>
      <c r="B39" s="1" t="s">
        <v>42</v>
      </c>
      <c r="C39" s="5" t="str">
        <f>VLOOKUP(B39,[1]Sheet1!$A:$C,1,0)</f>
        <v>BaNa(B3O5)3</v>
      </c>
      <c r="D39" s="3">
        <v>2</v>
      </c>
      <c r="E39" s="8">
        <v>1</v>
      </c>
      <c r="F39" s="9">
        <v>1</v>
      </c>
    </row>
    <row r="40" spans="1:6" ht="14.25" x14ac:dyDescent="0.2">
      <c r="A40" s="1">
        <v>158</v>
      </c>
      <c r="B40" s="1" t="s">
        <v>43</v>
      </c>
      <c r="C40" s="1" t="e">
        <f>VLOOKUP(B40,[1]Sheet1!$A:$C,1,0)</f>
        <v>#N/A</v>
      </c>
      <c r="D40" s="7">
        <v>4</v>
      </c>
      <c r="E40" s="8">
        <v>2</v>
      </c>
      <c r="F40" s="9">
        <v>1</v>
      </c>
    </row>
    <row r="41" spans="1:6" ht="14.25" x14ac:dyDescent="0.2">
      <c r="A41" s="1">
        <v>167</v>
      </c>
      <c r="B41" s="1" t="s">
        <v>44</v>
      </c>
      <c r="C41" s="1" t="e">
        <f>VLOOKUP(B41,[1]Sheet1!$A:$C,1,0)</f>
        <v>#N/A</v>
      </c>
      <c r="D41" s="7">
        <v>4</v>
      </c>
      <c r="E41" s="8">
        <v>2</v>
      </c>
      <c r="F41" s="9">
        <v>1</v>
      </c>
    </row>
    <row r="42" spans="1:6" ht="14.25" x14ac:dyDescent="0.2">
      <c r="A42" s="1">
        <v>171</v>
      </c>
      <c r="B42" s="1" t="s">
        <v>45</v>
      </c>
      <c r="C42" s="5" t="str">
        <f>VLOOKUP(B42,[1]Sheet1!$A:$C,1,0)</f>
        <v>BaLi2SiO4</v>
      </c>
      <c r="D42" s="7">
        <v>4</v>
      </c>
      <c r="E42" s="8">
        <v>2</v>
      </c>
      <c r="F42" s="9">
        <v>1</v>
      </c>
    </row>
    <row r="43" spans="1:6" ht="14.25" x14ac:dyDescent="0.2">
      <c r="A43" s="1">
        <v>172</v>
      </c>
      <c r="B43" s="1" t="s">
        <v>46</v>
      </c>
      <c r="C43" s="1" t="e">
        <f>VLOOKUP(B43,[1]Sheet1!$A:$C,1,0)</f>
        <v>#N/A</v>
      </c>
      <c r="D43" s="7">
        <v>4</v>
      </c>
      <c r="E43" s="2">
        <v>3</v>
      </c>
      <c r="F43" s="9">
        <v>1</v>
      </c>
    </row>
    <row r="44" spans="1:6" ht="14.25" x14ac:dyDescent="0.2">
      <c r="A44" s="1">
        <v>179</v>
      </c>
      <c r="B44" s="1" t="s">
        <v>47</v>
      </c>
      <c r="C44" s="1" t="e">
        <f>VLOOKUP(B44,[1]Sheet1!$A:$C,1,0)</f>
        <v>#N/A</v>
      </c>
      <c r="D44" s="7">
        <v>4</v>
      </c>
      <c r="E44" s="8">
        <v>1</v>
      </c>
      <c r="F44" s="9">
        <v>1</v>
      </c>
    </row>
    <row r="45" spans="1:6" ht="14.25" x14ac:dyDescent="0.2">
      <c r="A45" s="1">
        <v>192</v>
      </c>
      <c r="B45" s="1" t="s">
        <v>48</v>
      </c>
      <c r="C45" s="1" t="e">
        <f>VLOOKUP(B45,[1]Sheet1!$A:$C,1,0)</f>
        <v>#N/A</v>
      </c>
      <c r="D45" s="7">
        <v>4</v>
      </c>
      <c r="E45" s="8">
        <v>2</v>
      </c>
      <c r="F45" s="9">
        <v>1</v>
      </c>
    </row>
    <row r="46" spans="1:6" ht="14.25" x14ac:dyDescent="0.2">
      <c r="A46" s="1">
        <v>193</v>
      </c>
      <c r="B46" s="1" t="s">
        <v>49</v>
      </c>
      <c r="C46" s="1" t="e">
        <f>VLOOKUP(B46,[1]Sheet1!$A:$C,1,0)</f>
        <v>#N/A</v>
      </c>
      <c r="D46" s="7">
        <v>4</v>
      </c>
      <c r="E46" s="8">
        <v>1</v>
      </c>
      <c r="F46" s="4">
        <v>3</v>
      </c>
    </row>
    <row r="47" spans="1:6" ht="14.25" x14ac:dyDescent="0.2">
      <c r="A47" s="1">
        <v>194</v>
      </c>
      <c r="B47" s="1" t="s">
        <v>50</v>
      </c>
      <c r="C47" s="1" t="e">
        <f>VLOOKUP(B47,[1]Sheet1!$A:$C,1,0)</f>
        <v>#N/A</v>
      </c>
      <c r="D47" s="7">
        <v>4</v>
      </c>
      <c r="E47" s="8">
        <v>1</v>
      </c>
      <c r="F47" s="4">
        <v>3</v>
      </c>
    </row>
    <row r="48" spans="1:6" ht="14.25" x14ac:dyDescent="0.2">
      <c r="A48" s="1">
        <v>195</v>
      </c>
      <c r="B48" s="1" t="s">
        <v>51</v>
      </c>
      <c r="C48" s="1" t="e">
        <f>VLOOKUP(B48,[1]Sheet1!$A:$C,1,0)</f>
        <v>#N/A</v>
      </c>
      <c r="D48" s="7">
        <v>4</v>
      </c>
      <c r="E48" s="8">
        <v>1</v>
      </c>
      <c r="F48" s="4">
        <v>3</v>
      </c>
    </row>
    <row r="49" spans="1:6" ht="14.25" x14ac:dyDescent="0.2">
      <c r="A49" s="1">
        <v>198</v>
      </c>
      <c r="B49" s="1" t="s">
        <v>52</v>
      </c>
      <c r="C49" s="1" t="e">
        <f>VLOOKUP(B49,[1]Sheet1!$A:$C,1,0)</f>
        <v>#N/A</v>
      </c>
      <c r="D49" s="7">
        <v>4</v>
      </c>
      <c r="E49" s="8">
        <v>1</v>
      </c>
      <c r="F49" s="4">
        <v>3</v>
      </c>
    </row>
    <row r="50" spans="1:6" ht="14.25" x14ac:dyDescent="0.2">
      <c r="A50" s="1">
        <v>199</v>
      </c>
      <c r="B50" s="1" t="s">
        <v>53</v>
      </c>
      <c r="C50" s="5" t="str">
        <f>VLOOKUP(B50,[1]Sheet1!$A:$C,1,0)</f>
        <v>Cs2BaP2O7</v>
      </c>
      <c r="D50" s="7">
        <v>4</v>
      </c>
      <c r="E50" s="8">
        <v>1</v>
      </c>
      <c r="F50" s="4">
        <v>3</v>
      </c>
    </row>
    <row r="51" spans="1:6" ht="14.25" x14ac:dyDescent="0.2">
      <c r="A51" s="1">
        <v>200</v>
      </c>
      <c r="B51" s="1" t="s">
        <v>54</v>
      </c>
      <c r="C51" s="1" t="e">
        <f>VLOOKUP(B51,[1]Sheet1!$A:$C,1,0)</f>
        <v>#N/A</v>
      </c>
      <c r="D51" s="7">
        <v>4</v>
      </c>
      <c r="E51" s="8">
        <v>1</v>
      </c>
      <c r="F51" s="4">
        <v>3</v>
      </c>
    </row>
    <row r="52" spans="1:6" ht="14.25" x14ac:dyDescent="0.2">
      <c r="A52" s="1">
        <v>201</v>
      </c>
      <c r="B52" s="1" t="s">
        <v>55</v>
      </c>
      <c r="C52" s="1" t="e">
        <f>VLOOKUP(B52,[1]Sheet1!$A:$C,1,0)</f>
        <v>#N/A</v>
      </c>
      <c r="D52" s="7">
        <v>4</v>
      </c>
      <c r="E52" s="8">
        <v>1</v>
      </c>
      <c r="F52" s="4">
        <v>3</v>
      </c>
    </row>
    <row r="53" spans="1:6" ht="14.25" x14ac:dyDescent="0.2">
      <c r="A53" s="1">
        <v>202</v>
      </c>
      <c r="B53" s="1" t="s">
        <v>56</v>
      </c>
      <c r="C53" s="1" t="e">
        <f>VLOOKUP(B53,[1]Sheet1!$A:$C,1,0)</f>
        <v>#N/A</v>
      </c>
      <c r="D53" s="7">
        <v>4</v>
      </c>
      <c r="E53" s="8">
        <v>1</v>
      </c>
      <c r="F53" s="4">
        <v>3</v>
      </c>
    </row>
    <row r="54" spans="1:6" ht="14.25" x14ac:dyDescent="0.2">
      <c r="A54" s="1">
        <v>204</v>
      </c>
      <c r="B54" s="1" t="s">
        <v>57</v>
      </c>
      <c r="C54" s="1" t="e">
        <f>VLOOKUP(B54,[1]Sheet1!$A:$C,1,0)</f>
        <v>#N/A</v>
      </c>
      <c r="D54" s="7">
        <v>4</v>
      </c>
      <c r="E54" s="8">
        <v>1</v>
      </c>
      <c r="F54" s="4">
        <v>3</v>
      </c>
    </row>
    <row r="55" spans="1:6" ht="14.25" x14ac:dyDescent="0.2">
      <c r="A55" s="1">
        <v>205</v>
      </c>
      <c r="B55" s="1" t="s">
        <v>58</v>
      </c>
      <c r="C55" s="1" t="e">
        <f>VLOOKUP(B55,[1]Sheet1!$A:$C,1,0)</f>
        <v>#N/A</v>
      </c>
      <c r="D55" s="7">
        <v>4</v>
      </c>
      <c r="E55" s="8">
        <v>2</v>
      </c>
      <c r="F55" s="9">
        <v>1</v>
      </c>
    </row>
    <row r="56" spans="1:6" ht="14.25" x14ac:dyDescent="0.2">
      <c r="A56" s="1">
        <v>206</v>
      </c>
      <c r="B56" s="1" t="s">
        <v>59</v>
      </c>
      <c r="C56" s="1" t="e">
        <f>VLOOKUP(B56,[1]Sheet1!$A:$C,1,0)</f>
        <v>#N/A</v>
      </c>
      <c r="D56" s="7">
        <v>4</v>
      </c>
      <c r="E56" s="8">
        <v>1</v>
      </c>
      <c r="F56" s="4">
        <v>3</v>
      </c>
    </row>
    <row r="57" spans="1:6" ht="14.25" x14ac:dyDescent="0.2">
      <c r="A57" s="1">
        <v>207</v>
      </c>
      <c r="B57" s="1" t="s">
        <v>60</v>
      </c>
      <c r="C57" s="1" t="e">
        <f>VLOOKUP(B57,[1]Sheet1!$A:$C,1,0)</f>
        <v>#N/A</v>
      </c>
      <c r="D57" s="7">
        <v>4</v>
      </c>
      <c r="E57" s="8">
        <v>2</v>
      </c>
      <c r="F57" s="9">
        <v>1</v>
      </c>
    </row>
    <row r="58" spans="1:6" ht="14.25" x14ac:dyDescent="0.2">
      <c r="A58" s="1">
        <v>208</v>
      </c>
      <c r="B58" s="1" t="s">
        <v>61</v>
      </c>
      <c r="C58" s="1" t="e">
        <f>VLOOKUP(B58,[1]Sheet1!$A:$C,1,0)</f>
        <v>#N/A</v>
      </c>
      <c r="D58" s="7">
        <v>4</v>
      </c>
      <c r="E58" s="8">
        <v>1</v>
      </c>
      <c r="F58" s="4">
        <v>3</v>
      </c>
    </row>
    <row r="59" spans="1:6" ht="14.25" x14ac:dyDescent="0.2">
      <c r="A59" s="1">
        <v>211</v>
      </c>
      <c r="B59" s="1" t="s">
        <v>62</v>
      </c>
      <c r="C59" s="1" t="e">
        <f>VLOOKUP(B59,[1]Sheet1!$A:$C,1,0)</f>
        <v>#N/A</v>
      </c>
      <c r="D59" s="7">
        <v>4</v>
      </c>
      <c r="E59" s="8">
        <v>2</v>
      </c>
      <c r="F59" s="9">
        <v>1</v>
      </c>
    </row>
    <row r="60" spans="1:6" ht="14.25" x14ac:dyDescent="0.2">
      <c r="A60" s="1">
        <v>213</v>
      </c>
      <c r="B60" s="1" t="s">
        <v>63</v>
      </c>
      <c r="C60" s="1" t="e">
        <f>VLOOKUP(B60,[1]Sheet1!$A:$C,1,0)</f>
        <v>#N/A</v>
      </c>
      <c r="D60" s="7">
        <v>4</v>
      </c>
      <c r="E60" s="8">
        <v>1</v>
      </c>
      <c r="F60" s="9">
        <v>1</v>
      </c>
    </row>
    <row r="61" spans="1:6" ht="14.25" x14ac:dyDescent="0.2">
      <c r="A61" s="1">
        <v>215</v>
      </c>
      <c r="B61" s="1" t="s">
        <v>64</v>
      </c>
      <c r="C61" s="1" t="e">
        <f>VLOOKUP(B61,[1]Sheet1!$A:$C,1,0)</f>
        <v>#N/A</v>
      </c>
      <c r="D61" s="7">
        <v>4</v>
      </c>
      <c r="E61" s="8">
        <v>1</v>
      </c>
      <c r="F61" s="4">
        <v>3</v>
      </c>
    </row>
    <row r="62" spans="1:6" ht="14.25" x14ac:dyDescent="0.2">
      <c r="A62" s="1">
        <v>219</v>
      </c>
      <c r="B62" s="1" t="s">
        <v>65</v>
      </c>
      <c r="C62" s="1" t="e">
        <f>VLOOKUP(B62,[1]Sheet1!$A:$C,1,0)</f>
        <v>#N/A</v>
      </c>
      <c r="D62" s="3">
        <v>2</v>
      </c>
      <c r="E62" s="8">
        <v>2</v>
      </c>
      <c r="F62" s="9">
        <v>1</v>
      </c>
    </row>
    <row r="63" spans="1:6" ht="14.25" x14ac:dyDescent="0.2">
      <c r="A63" s="1">
        <v>221</v>
      </c>
      <c r="B63" s="1" t="s">
        <v>66</v>
      </c>
      <c r="C63" s="1" t="e">
        <f>VLOOKUP(B63,[1]Sheet1!$A:$C,1,0)</f>
        <v>#N/A</v>
      </c>
      <c r="D63" s="7">
        <v>4</v>
      </c>
      <c r="E63" s="8">
        <v>2</v>
      </c>
      <c r="F63" s="9">
        <v>1</v>
      </c>
    </row>
    <row r="64" spans="1:6" ht="14.25" x14ac:dyDescent="0.2">
      <c r="A64" s="1">
        <v>223</v>
      </c>
      <c r="B64" s="1" t="s">
        <v>67</v>
      </c>
      <c r="C64" s="1" t="e">
        <f>VLOOKUP(B64,[1]Sheet1!$A:$C,1,0)</f>
        <v>#N/A</v>
      </c>
      <c r="D64" s="7">
        <v>4</v>
      </c>
      <c r="E64" s="8">
        <v>1</v>
      </c>
      <c r="F64" s="9">
        <v>1</v>
      </c>
    </row>
    <row r="65" spans="1:6" ht="14.25" x14ac:dyDescent="0.2">
      <c r="A65" s="1">
        <v>224</v>
      </c>
      <c r="B65" s="1" t="s">
        <v>68</v>
      </c>
      <c r="C65" s="1" t="e">
        <f>VLOOKUP(B65,[1]Sheet1!$A:$C,1,0)</f>
        <v>#N/A</v>
      </c>
      <c r="D65" s="7">
        <v>4</v>
      </c>
      <c r="E65" s="2">
        <v>4</v>
      </c>
      <c r="F65" s="9">
        <v>1</v>
      </c>
    </row>
    <row r="66" spans="1:6" ht="14.25" x14ac:dyDescent="0.2">
      <c r="A66" s="1">
        <v>226</v>
      </c>
      <c r="B66" s="1" t="s">
        <v>69</v>
      </c>
      <c r="C66" s="1" t="e">
        <f>VLOOKUP(B66,[1]Sheet1!$A:$C,1,0)</f>
        <v>#N/A</v>
      </c>
      <c r="D66" s="7">
        <v>4</v>
      </c>
      <c r="E66" s="8">
        <v>1</v>
      </c>
      <c r="F66" s="9">
        <v>1</v>
      </c>
    </row>
    <row r="67" spans="1:6" ht="14.25" x14ac:dyDescent="0.2">
      <c r="A67" s="1">
        <v>227</v>
      </c>
      <c r="B67" s="1" t="s">
        <v>70</v>
      </c>
      <c r="C67" s="1" t="e">
        <f>VLOOKUP(B67,[1]Sheet1!$A:$C,1,0)</f>
        <v>#N/A</v>
      </c>
      <c r="D67" s="7">
        <v>4</v>
      </c>
      <c r="E67" s="8">
        <v>2</v>
      </c>
      <c r="F67" s="9">
        <v>1</v>
      </c>
    </row>
    <row r="68" spans="1:6" ht="14.25" x14ac:dyDescent="0.2">
      <c r="A68" s="1">
        <v>229</v>
      </c>
      <c r="B68" s="1" t="s">
        <v>71</v>
      </c>
      <c r="C68" s="1" t="e">
        <f>VLOOKUP(B68,[1]Sheet1!$A:$C,1,0)</f>
        <v>#N/A</v>
      </c>
      <c r="D68" s="7">
        <v>4</v>
      </c>
      <c r="E68" s="8">
        <v>2</v>
      </c>
      <c r="F68" s="9">
        <v>1</v>
      </c>
    </row>
    <row r="69" spans="1:6" ht="14.25" x14ac:dyDescent="0.2">
      <c r="A69" s="1">
        <v>231</v>
      </c>
      <c r="B69" s="1" t="s">
        <v>72</v>
      </c>
      <c r="C69" s="1" t="e">
        <f>VLOOKUP(B69,[1]Sheet1!$A:$C,1,0)</f>
        <v>#N/A</v>
      </c>
      <c r="D69" s="3">
        <v>3</v>
      </c>
      <c r="E69" s="8">
        <v>2</v>
      </c>
      <c r="F69" s="9">
        <v>1</v>
      </c>
    </row>
    <row r="70" spans="1:6" ht="14.25" x14ac:dyDescent="0.2">
      <c r="A70" s="1">
        <v>232</v>
      </c>
      <c r="B70" s="1" t="s">
        <v>73</v>
      </c>
      <c r="C70" s="1" t="e">
        <f>VLOOKUP(B70,[1]Sheet1!$A:$C,1,0)</f>
        <v>#N/A</v>
      </c>
      <c r="D70" s="7">
        <v>4</v>
      </c>
      <c r="E70" s="8">
        <v>1</v>
      </c>
      <c r="F70" s="4">
        <v>3</v>
      </c>
    </row>
    <row r="71" spans="1:6" ht="14.25" x14ac:dyDescent="0.2">
      <c r="A71" s="1">
        <v>233</v>
      </c>
      <c r="B71" s="1" t="s">
        <v>74</v>
      </c>
      <c r="C71" s="1" t="e">
        <f>VLOOKUP(B71,[1]Sheet1!$A:$C,1,0)</f>
        <v>#N/A</v>
      </c>
      <c r="D71" s="7">
        <v>4</v>
      </c>
      <c r="E71" s="8">
        <v>2</v>
      </c>
      <c r="F71" s="9">
        <v>1</v>
      </c>
    </row>
    <row r="72" spans="1:6" ht="14.25" x14ac:dyDescent="0.2">
      <c r="A72" s="1">
        <v>235</v>
      </c>
      <c r="B72" s="1" t="s">
        <v>75</v>
      </c>
      <c r="C72" s="1" t="e">
        <f>VLOOKUP(B72,[1]Sheet1!$A:$C,1,0)</f>
        <v>#N/A</v>
      </c>
      <c r="D72" s="7">
        <v>4</v>
      </c>
      <c r="E72" s="8">
        <v>2</v>
      </c>
      <c r="F72" s="9">
        <v>1</v>
      </c>
    </row>
    <row r="73" spans="1:6" ht="14.25" x14ac:dyDescent="0.2">
      <c r="A73" s="1">
        <v>236</v>
      </c>
      <c r="B73" s="1" t="s">
        <v>76</v>
      </c>
      <c r="C73" s="1" t="e">
        <f>VLOOKUP(B73,[1]Sheet1!$A:$C,1,0)</f>
        <v>#N/A</v>
      </c>
      <c r="D73" s="7">
        <v>4</v>
      </c>
      <c r="E73" s="8">
        <v>2</v>
      </c>
      <c r="F73" s="9">
        <v>1</v>
      </c>
    </row>
    <row r="74" spans="1:6" ht="14.25" x14ac:dyDescent="0.2">
      <c r="A74" s="1">
        <v>237</v>
      </c>
      <c r="B74" s="1" t="s">
        <v>77</v>
      </c>
      <c r="C74" s="1" t="e">
        <f>VLOOKUP(B74,[1]Sheet1!$A:$C,1,0)</f>
        <v>#N/A</v>
      </c>
      <c r="D74" s="7">
        <v>4</v>
      </c>
      <c r="E74" s="8">
        <v>2</v>
      </c>
      <c r="F74" s="9">
        <v>1</v>
      </c>
    </row>
    <row r="75" spans="1:6" ht="14.25" x14ac:dyDescent="0.2">
      <c r="A75" s="1">
        <v>242</v>
      </c>
      <c r="B75" s="1" t="s">
        <v>78</v>
      </c>
      <c r="C75" s="1" t="e">
        <f>VLOOKUP(B75,[1]Sheet1!$A:$C,1,0)</f>
        <v>#N/A</v>
      </c>
      <c r="D75" s="7">
        <v>4</v>
      </c>
      <c r="E75" s="8">
        <v>1</v>
      </c>
      <c r="F75" s="4">
        <v>3</v>
      </c>
    </row>
    <row r="76" spans="1:6" ht="14.25" x14ac:dyDescent="0.2">
      <c r="A76" s="1">
        <v>245</v>
      </c>
      <c r="B76" s="1" t="s">
        <v>79</v>
      </c>
      <c r="C76" s="1" t="e">
        <f>VLOOKUP(B76,[1]Sheet1!$A:$C,1,0)</f>
        <v>#N/A</v>
      </c>
      <c r="D76" s="7">
        <v>4</v>
      </c>
      <c r="E76" s="2">
        <v>3</v>
      </c>
      <c r="F76" s="9">
        <v>1</v>
      </c>
    </row>
    <row r="77" spans="1:6" ht="14.25" x14ac:dyDescent="0.2">
      <c r="A77" s="1">
        <v>248</v>
      </c>
      <c r="B77" s="1" t="s">
        <v>80</v>
      </c>
      <c r="C77" s="1" t="e">
        <f>VLOOKUP(B77,[1]Sheet1!$A:$C,1,0)</f>
        <v>#N/A</v>
      </c>
      <c r="D77" s="7">
        <v>4</v>
      </c>
      <c r="E77" s="2">
        <v>3</v>
      </c>
      <c r="F77" s="9">
        <v>1</v>
      </c>
    </row>
    <row r="78" spans="1:6" ht="14.25" x14ac:dyDescent="0.2">
      <c r="A78" s="1">
        <v>249</v>
      </c>
      <c r="B78" s="1" t="s">
        <v>81</v>
      </c>
      <c r="C78" s="1" t="e">
        <f>VLOOKUP(B78,[1]Sheet1!$A:$C,1,0)</f>
        <v>#N/A</v>
      </c>
      <c r="D78" s="7">
        <v>4</v>
      </c>
      <c r="E78" s="2">
        <v>3</v>
      </c>
      <c r="F78" s="9">
        <v>1</v>
      </c>
    </row>
    <row r="79" spans="1:6" ht="14.25" x14ac:dyDescent="0.2">
      <c r="A79" s="1">
        <v>250</v>
      </c>
      <c r="B79" s="1" t="s">
        <v>82</v>
      </c>
      <c r="C79" s="1" t="e">
        <f>VLOOKUP(B79,[1]Sheet1!$A:$C,1,0)</f>
        <v>#N/A</v>
      </c>
      <c r="D79" s="7">
        <v>4</v>
      </c>
      <c r="E79" s="8">
        <v>1</v>
      </c>
      <c r="F79" s="9">
        <v>1</v>
      </c>
    </row>
    <row r="80" spans="1:6" ht="14.25" x14ac:dyDescent="0.2">
      <c r="A80" s="1">
        <v>254</v>
      </c>
      <c r="B80" s="1" t="s">
        <v>83</v>
      </c>
      <c r="C80" s="1" t="e">
        <f>VLOOKUP(B80,[1]Sheet1!$A:$C,1,0)</f>
        <v>#N/A</v>
      </c>
      <c r="D80" s="7">
        <v>4</v>
      </c>
      <c r="E80" s="8">
        <v>2</v>
      </c>
      <c r="F80" s="4">
        <v>2</v>
      </c>
    </row>
    <row r="81" spans="1:6" ht="14.25" x14ac:dyDescent="0.2">
      <c r="A81" s="1">
        <v>257</v>
      </c>
      <c r="B81" s="1" t="s">
        <v>84</v>
      </c>
      <c r="C81" s="1" t="e">
        <f>VLOOKUP(B81,[1]Sheet1!$A:$C,1,0)</f>
        <v>#N/A</v>
      </c>
      <c r="D81" s="7">
        <v>4</v>
      </c>
      <c r="E81" s="2">
        <v>3</v>
      </c>
      <c r="F81" s="9">
        <v>1</v>
      </c>
    </row>
    <row r="82" spans="1:6" ht="14.25" x14ac:dyDescent="0.2">
      <c r="A82" s="1">
        <v>258</v>
      </c>
      <c r="B82" s="1" t="s">
        <v>85</v>
      </c>
      <c r="C82" s="1" t="e">
        <f>VLOOKUP(B82,[1]Sheet1!$A:$C,1,0)</f>
        <v>#N/A</v>
      </c>
      <c r="D82" s="7">
        <v>4</v>
      </c>
      <c r="E82" s="2">
        <v>3</v>
      </c>
      <c r="F82" s="9">
        <v>1</v>
      </c>
    </row>
    <row r="83" spans="1:6" ht="14.25" x14ac:dyDescent="0.2">
      <c r="A83" s="1">
        <v>259</v>
      </c>
      <c r="B83" s="1" t="s">
        <v>86</v>
      </c>
      <c r="C83" s="1" t="e">
        <f>VLOOKUP(B83,[1]Sheet1!$A:$C,1,0)</f>
        <v>#N/A</v>
      </c>
      <c r="D83" s="7">
        <v>4</v>
      </c>
      <c r="E83" s="8">
        <v>1</v>
      </c>
      <c r="F83" s="9">
        <v>1</v>
      </c>
    </row>
    <row r="84" spans="1:6" ht="14.25" x14ac:dyDescent="0.2">
      <c r="A84" s="1">
        <v>260</v>
      </c>
      <c r="B84" s="1" t="s">
        <v>87</v>
      </c>
      <c r="C84" s="1" t="e">
        <f>VLOOKUP(B84,[1]Sheet1!$A:$C,1,0)</f>
        <v>#N/A</v>
      </c>
      <c r="D84" s="7">
        <v>4</v>
      </c>
      <c r="E84" s="2">
        <v>3</v>
      </c>
      <c r="F84" s="9">
        <v>1</v>
      </c>
    </row>
    <row r="85" spans="1:6" ht="14.25" x14ac:dyDescent="0.2">
      <c r="A85" s="1">
        <v>261</v>
      </c>
      <c r="B85" s="1" t="s">
        <v>88</v>
      </c>
      <c r="C85" s="5" t="str">
        <f>VLOOKUP(B85,[1]Sheet1!$A:$C,1,0)</f>
        <v>NaCaPO4</v>
      </c>
      <c r="D85" s="7">
        <v>4</v>
      </c>
      <c r="E85" s="8">
        <v>1</v>
      </c>
      <c r="F85" s="9">
        <v>1</v>
      </c>
    </row>
    <row r="86" spans="1:6" ht="14.25" x14ac:dyDescent="0.2">
      <c r="A86" s="1">
        <v>262</v>
      </c>
      <c r="B86" s="1" t="s">
        <v>89</v>
      </c>
      <c r="C86" s="1" t="e">
        <f>VLOOKUP(B86,[1]Sheet1!$A:$C,1,0)</f>
        <v>#N/A</v>
      </c>
      <c r="D86" s="7">
        <v>4</v>
      </c>
      <c r="E86" s="2">
        <v>3</v>
      </c>
      <c r="F86" s="9">
        <v>1</v>
      </c>
    </row>
    <row r="87" spans="1:6" ht="14.25" x14ac:dyDescent="0.2">
      <c r="A87" s="1">
        <v>263</v>
      </c>
      <c r="B87" s="1" t="s">
        <v>90</v>
      </c>
      <c r="C87" s="1" t="e">
        <f>VLOOKUP(B87,[1]Sheet1!$A:$C,1,0)</f>
        <v>#N/A</v>
      </c>
      <c r="D87" s="7">
        <v>4</v>
      </c>
      <c r="E87" s="8">
        <v>2</v>
      </c>
      <c r="F87" s="4">
        <v>2</v>
      </c>
    </row>
    <row r="88" spans="1:6" ht="14.25" x14ac:dyDescent="0.2">
      <c r="A88" s="1">
        <v>265</v>
      </c>
      <c r="B88" s="1" t="s">
        <v>91</v>
      </c>
      <c r="C88" s="1" t="e">
        <f>VLOOKUP(B88,[1]Sheet1!$A:$C,1,0)</f>
        <v>#N/A</v>
      </c>
      <c r="D88" s="7">
        <v>4</v>
      </c>
      <c r="E88" s="2">
        <v>3</v>
      </c>
      <c r="F88" s="9">
        <v>1</v>
      </c>
    </row>
    <row r="89" spans="1:6" ht="14.25" x14ac:dyDescent="0.2">
      <c r="A89" s="1">
        <v>266</v>
      </c>
      <c r="B89" s="1" t="s">
        <v>92</v>
      </c>
      <c r="C89" s="1" t="e">
        <f>VLOOKUP(B89,[1]Sheet1!$A:$C,1,0)</f>
        <v>#N/A</v>
      </c>
      <c r="D89" s="7">
        <v>4</v>
      </c>
      <c r="E89" s="2">
        <v>3</v>
      </c>
      <c r="F89" s="9">
        <v>1</v>
      </c>
    </row>
    <row r="90" spans="1:6" ht="14.25" x14ac:dyDescent="0.2">
      <c r="A90" s="1">
        <v>267</v>
      </c>
      <c r="B90" s="1" t="s">
        <v>93</v>
      </c>
      <c r="C90" s="1" t="e">
        <f>VLOOKUP(B90,[1]Sheet1!$A:$C,1,0)</f>
        <v>#N/A</v>
      </c>
      <c r="D90" s="7">
        <v>4</v>
      </c>
      <c r="E90" s="8">
        <v>2</v>
      </c>
      <c r="F90" s="9">
        <v>1</v>
      </c>
    </row>
    <row r="91" spans="1:6" ht="14.25" x14ac:dyDescent="0.2">
      <c r="A91" s="1">
        <v>268</v>
      </c>
      <c r="B91" s="1" t="s">
        <v>94</v>
      </c>
      <c r="C91" s="1" t="e">
        <f>VLOOKUP(B91,[1]Sheet1!$A:$C,1,0)</f>
        <v>#N/A</v>
      </c>
      <c r="D91" s="7">
        <v>4</v>
      </c>
      <c r="E91" s="8">
        <v>1</v>
      </c>
      <c r="F91" s="9">
        <v>1</v>
      </c>
    </row>
    <row r="92" spans="1:6" ht="14.25" x14ac:dyDescent="0.2">
      <c r="A92" s="1">
        <v>270</v>
      </c>
      <c r="B92" s="1" t="s">
        <v>95</v>
      </c>
      <c r="C92" s="1" t="e">
        <f>VLOOKUP(B92,[1]Sheet1!$A:$C,1,0)</f>
        <v>#N/A</v>
      </c>
      <c r="D92" s="7">
        <v>4</v>
      </c>
      <c r="E92" s="2">
        <v>3</v>
      </c>
      <c r="F92" s="9">
        <v>1</v>
      </c>
    </row>
    <row r="93" spans="1:6" ht="14.25" x14ac:dyDescent="0.2">
      <c r="A93" s="1">
        <v>271</v>
      </c>
      <c r="B93" s="1" t="s">
        <v>96</v>
      </c>
      <c r="C93" s="1" t="e">
        <f>VLOOKUP(B93,[1]Sheet1!$A:$C,1,0)</f>
        <v>#N/A</v>
      </c>
      <c r="D93" s="7">
        <v>4</v>
      </c>
      <c r="E93" s="8">
        <v>1</v>
      </c>
      <c r="F93" s="9">
        <v>1</v>
      </c>
    </row>
    <row r="94" spans="1:6" ht="14.25" x14ac:dyDescent="0.2">
      <c r="A94" s="1">
        <v>273</v>
      </c>
      <c r="B94" s="1" t="s">
        <v>97</v>
      </c>
      <c r="C94" s="1" t="e">
        <f>VLOOKUP(B94,[1]Sheet1!$A:$C,1,0)</f>
        <v>#N/A</v>
      </c>
      <c r="D94" s="7">
        <v>4</v>
      </c>
      <c r="E94" s="2">
        <v>3</v>
      </c>
      <c r="F94" s="9">
        <v>1</v>
      </c>
    </row>
    <row r="95" spans="1:6" ht="14.25" x14ac:dyDescent="0.2">
      <c r="A95" s="1">
        <v>274</v>
      </c>
      <c r="B95" s="1" t="s">
        <v>98</v>
      </c>
      <c r="C95" s="1" t="e">
        <f>VLOOKUP(B95,[1]Sheet1!$A:$C,1,0)</f>
        <v>#N/A</v>
      </c>
      <c r="D95" s="7">
        <v>4</v>
      </c>
      <c r="E95" s="8">
        <v>1</v>
      </c>
      <c r="F95" s="9">
        <v>1</v>
      </c>
    </row>
    <row r="96" spans="1:6" ht="14.25" x14ac:dyDescent="0.2">
      <c r="A96" s="1">
        <v>276</v>
      </c>
      <c r="B96" s="1" t="s">
        <v>99</v>
      </c>
      <c r="C96" s="1" t="e">
        <f>VLOOKUP(B96,[1]Sheet1!$A:$C,1,0)</f>
        <v>#N/A</v>
      </c>
      <c r="D96" s="7">
        <v>4</v>
      </c>
      <c r="E96" s="8">
        <v>2</v>
      </c>
      <c r="F96" s="9">
        <v>1</v>
      </c>
    </row>
    <row r="97" spans="1:6" ht="14.25" x14ac:dyDescent="0.2">
      <c r="A97" s="1">
        <v>277</v>
      </c>
      <c r="B97" s="1" t="s">
        <v>100</v>
      </c>
      <c r="C97" s="1" t="e">
        <f>VLOOKUP(B97,[1]Sheet1!$A:$C,1,0)</f>
        <v>#N/A</v>
      </c>
      <c r="D97" s="7">
        <v>4</v>
      </c>
      <c r="E97" s="8">
        <v>2</v>
      </c>
      <c r="F97" s="9">
        <v>1</v>
      </c>
    </row>
    <row r="98" spans="1:6" ht="14.25" x14ac:dyDescent="0.2">
      <c r="A98" s="1">
        <v>279</v>
      </c>
      <c r="B98" s="1" t="s">
        <v>101</v>
      </c>
      <c r="C98" s="1" t="e">
        <f>VLOOKUP(B98,[1]Sheet1!$A:$C,1,0)</f>
        <v>#N/A</v>
      </c>
      <c r="D98" s="7">
        <v>4</v>
      </c>
      <c r="E98" s="8">
        <v>1</v>
      </c>
      <c r="F98" s="4">
        <v>3</v>
      </c>
    </row>
    <row r="99" spans="1:6" ht="14.25" x14ac:dyDescent="0.2">
      <c r="A99" s="1">
        <v>280</v>
      </c>
      <c r="B99" s="1" t="s">
        <v>102</v>
      </c>
      <c r="C99" s="1" t="e">
        <f>VLOOKUP(B99,[1]Sheet1!$A:$C,1,0)</f>
        <v>#N/A</v>
      </c>
      <c r="D99" s="7">
        <v>4</v>
      </c>
      <c r="E99" s="8">
        <v>1</v>
      </c>
      <c r="F99" s="4">
        <v>3</v>
      </c>
    </row>
    <row r="100" spans="1:6" ht="14.25" x14ac:dyDescent="0.2">
      <c r="A100" s="1">
        <v>281</v>
      </c>
      <c r="B100" s="1" t="s">
        <v>103</v>
      </c>
      <c r="C100" s="1" t="e">
        <f>VLOOKUP(B100,[1]Sheet1!$A:$C,1,0)</f>
        <v>#N/A</v>
      </c>
      <c r="D100" s="7">
        <v>4</v>
      </c>
      <c r="E100" s="8">
        <v>1</v>
      </c>
      <c r="F100" s="4">
        <v>3</v>
      </c>
    </row>
    <row r="101" spans="1:6" ht="14.25" x14ac:dyDescent="0.2">
      <c r="A101" s="1">
        <v>283</v>
      </c>
      <c r="B101" s="1" t="s">
        <v>104</v>
      </c>
      <c r="C101" s="5" t="str">
        <f>VLOOKUP(B101,[1]Sheet1!$A:$C,1,0)</f>
        <v>RbLi7(SiO4)2</v>
      </c>
      <c r="D101" s="7">
        <v>4</v>
      </c>
      <c r="E101" s="8">
        <v>2</v>
      </c>
      <c r="F101" s="9">
        <v>1</v>
      </c>
    </row>
    <row r="102" spans="1:6" ht="14.25" x14ac:dyDescent="0.2">
      <c r="A102" s="1">
        <v>284</v>
      </c>
      <c r="B102" s="1" t="s">
        <v>105</v>
      </c>
      <c r="C102" s="1" t="e">
        <f>VLOOKUP(B102,[1]Sheet1!$A:$C,1,0)</f>
        <v>#N/A</v>
      </c>
      <c r="D102" s="7">
        <v>4</v>
      </c>
      <c r="E102" s="8">
        <v>1</v>
      </c>
      <c r="F102" s="9">
        <v>1</v>
      </c>
    </row>
  </sheetData>
  <autoFilter ref="A1:F102" xr:uid="{71CFAF5F-AB59-40E9-9C20-4514BD86F4E8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narrow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Kunjie Song</cp:lastModifiedBy>
  <dcterms:created xsi:type="dcterms:W3CDTF">2023-05-12T11:15:00Z</dcterms:created>
  <dcterms:modified xsi:type="dcterms:W3CDTF">2026-10-15T09:21:44Z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3EE89656879248F6A7C6BC1D13A34AFB_12</vt:lpwstr>
  </property>
</Properties>
</file>